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scargarciabeltran/Desktop/"/>
    </mc:Choice>
  </mc:AlternateContent>
  <xr:revisionPtr revIDLastSave="0" documentId="8_{E276FEA5-3705-CB43-B504-F705B4DAE482}" xr6:coauthVersionLast="47" xr6:coauthVersionMax="47" xr10:uidLastSave="{00000000-0000-0000-0000-000000000000}"/>
  <bookViews>
    <workbookView xWindow="240" yWindow="500" windowWidth="29760" windowHeight="16500" xr2:uid="{00000000-000D-0000-FFFF-FFFF00000000}"/>
  </bookViews>
  <sheets>
    <sheet name="InvoiceDetail" sheetId="1" r:id="rId1"/>
  </sheets>
  <definedNames>
    <definedName name="_xlnm.Print_Titles" localSheetId="0">InvoiceDetail!$1:$5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8" i="1"/>
</calcChain>
</file>

<file path=xl/sharedStrings.xml><?xml version="1.0" encoding="utf-8"?>
<sst xmlns="http://schemas.openxmlformats.org/spreadsheetml/2006/main" count="957" uniqueCount="220">
  <si>
    <t>Invoice Detail</t>
  </si>
  <si>
    <t>Cedapiel</t>
  </si>
  <si>
    <t>Thu 20 – Thu 20 Nov 2025
Location: . All locations
Staff: All staff, sales by invoice date</t>
  </si>
  <si>
    <t>Invoice #</t>
  </si>
  <si>
    <t>Date</t>
  </si>
  <si>
    <t>Customer</t>
  </si>
  <si>
    <t>Location</t>
  </si>
  <si>
    <t>Staff</t>
  </si>
  <si>
    <t>Type</t>
  </si>
  <si>
    <t>Description</t>
  </si>
  <si>
    <t>Unit Price</t>
  </si>
  <si>
    <t>Quantity</t>
  </si>
  <si>
    <t>Tax</t>
  </si>
  <si>
    <t>Amount</t>
  </si>
  <si>
    <t>Beatriz Quintanilla Duhne</t>
  </si>
  <si>
    <t>Cedapiel Pueblo Serena</t>
  </si>
  <si>
    <t>Dra Maricarmen Alanis</t>
  </si>
  <si>
    <t>Product</t>
  </si>
  <si>
    <t>Telica (8175586665)</t>
  </si>
  <si>
    <t>Salua Wong Charur</t>
  </si>
  <si>
    <t>Dra Emma Beltran</t>
  </si>
  <si>
    <t>Regina Isabella Cianca Garnica</t>
  </si>
  <si>
    <t>Oscar  Beltran</t>
  </si>
  <si>
    <t>Adjustment</t>
  </si>
  <si>
    <t>Expiry of credit (Revenue)</t>
  </si>
  <si>
    <t>Maria Eugenia Luna Herrera</t>
  </si>
  <si>
    <t>Cedapiel Humberto Lobo</t>
  </si>
  <si>
    <t>Anna Davila</t>
  </si>
  <si>
    <t>Appointment</t>
  </si>
  <si>
    <t>Discount</t>
  </si>
  <si>
    <t>General/Misc</t>
  </si>
  <si>
    <t>Marcela Rodriguez Garcia</t>
  </si>
  <si>
    <t>Xochitl Arlen Patlan Hernandez</t>
  </si>
  <si>
    <t>Service</t>
  </si>
  <si>
    <t>Bikini</t>
  </si>
  <si>
    <t>Melida Yolanda Sandoval Villarreal</t>
  </si>
  <si>
    <t>Lupita Pineda</t>
  </si>
  <si>
    <t>Axila</t>
  </si>
  <si>
    <t>Noemi Canales Martinez</t>
  </si>
  <si>
    <t>Liliana Araujo</t>
  </si>
  <si>
    <t>Monica Guerra Bonilla</t>
  </si>
  <si>
    <t>Alma Edith Becerra Ramirez</t>
  </si>
  <si>
    <t>Xiomara Hinojosa Barrera</t>
  </si>
  <si>
    <t>Elisa De la Rosa</t>
  </si>
  <si>
    <t>Lietza Lozano Villarreal</t>
  </si>
  <si>
    <t>Eugenia Garza Calderon</t>
  </si>
  <si>
    <t>Lucy Rdz</t>
  </si>
  <si>
    <t>Media cara</t>
  </si>
  <si>
    <t>Paola Figueroa Lozano</t>
  </si>
  <si>
    <t>Cedapiel San Agustin</t>
  </si>
  <si>
    <t>Vanessa Rodriguez</t>
  </si>
  <si>
    <t>Bozo</t>
  </si>
  <si>
    <t>Medio brazo</t>
  </si>
  <si>
    <t>Monica De la Paz Muzquiz</t>
  </si>
  <si>
    <t>Blanca Ayala</t>
  </si>
  <si>
    <t>Regina Gonzalez Reynoso</t>
  </si>
  <si>
    <t>Andrea Fernanda Gonzalez Gonzalez</t>
  </si>
  <si>
    <t>Leydi Angelica Perez Dominguez</t>
  </si>
  <si>
    <t>Diana Estefania Doria García</t>
  </si>
  <si>
    <t>Roberta Villarreal Peña</t>
  </si>
  <si>
    <t>Javier Martinez Herrera</t>
  </si>
  <si>
    <t>Andrea Torres Beltran del Rio</t>
  </si>
  <si>
    <t>Robertha Hernandez Carmona</t>
  </si>
  <si>
    <t>Ana Daniela Canales Reyna</t>
  </si>
  <si>
    <t>Ana Cecilia Jimenez Arnaiz</t>
  </si>
  <si>
    <t>Cristina Ramirez Millares</t>
  </si>
  <si>
    <t>Area perianal</t>
  </si>
  <si>
    <t>Diana Cecilia Avelar Treviño</t>
  </si>
  <si>
    <t>Cedapiel Cumbres Sikara</t>
  </si>
  <si>
    <t>Marilu Perez Castro</t>
  </si>
  <si>
    <t>Melissa Adriana Juarez Chapa</t>
  </si>
  <si>
    <t>Brazo completo</t>
  </si>
  <si>
    <t>Valeria Espino Barros</t>
  </si>
  <si>
    <t>Rosa Maria Martinez Rodriguez</t>
  </si>
  <si>
    <t>Cecilia Flores de los Santos</t>
  </si>
  <si>
    <t>Luisa Guerra Castilla</t>
  </si>
  <si>
    <t>Viviana Safi</t>
  </si>
  <si>
    <t>Lorenza Flores Tassinari</t>
  </si>
  <si>
    <t>Dedos de los pies</t>
  </si>
  <si>
    <t>Alejandra Gracia Villaseñor</t>
  </si>
  <si>
    <t>Alejandra Estrada Aguayo</t>
  </si>
  <si>
    <t>Claudia Rios Cardenas</t>
  </si>
  <si>
    <t>Marcela Elizondo de los Santos</t>
  </si>
  <si>
    <t>Hilda Marroquin Leal</t>
  </si>
  <si>
    <t>Virginia Elena Sanchez  Peña</t>
  </si>
  <si>
    <t>Gabriel Eduardo Gonzalez Villarreal</t>
  </si>
  <si>
    <t>Cecilia Karina Perales Piña</t>
  </si>
  <si>
    <t>Melina Guevara</t>
  </si>
  <si>
    <t>Diana Paola Amaro de la Paz</t>
  </si>
  <si>
    <t>Valeria Montemayor Garza</t>
  </si>
  <si>
    <t>Cecilia Gonzalez Flores de Anda</t>
  </si>
  <si>
    <t>Paulina Martinez Mena</t>
  </si>
  <si>
    <t>Nuca</t>
  </si>
  <si>
    <t>Sandra Berenice Medina Monsivais</t>
  </si>
  <si>
    <t>Everardo Almaguer Salazar</t>
  </si>
  <si>
    <t>Judith Mercado</t>
  </si>
  <si>
    <t>Marisol Bazarte Cantu</t>
  </si>
  <si>
    <t>Mariana Medina</t>
  </si>
  <si>
    <t>Maria Fernanda Massa</t>
  </si>
  <si>
    <t>Maricela Campos</t>
  </si>
  <si>
    <t>Annia Martinez Barrera</t>
  </si>
  <si>
    <t>Natividad Otamendi</t>
  </si>
  <si>
    <t>Linea de abdomen</t>
  </si>
  <si>
    <t>Ximena Olivares Azuela</t>
  </si>
  <si>
    <t>Minerva Eunice Vargas Coronado</t>
  </si>
  <si>
    <t>Isabella Vizcaino</t>
  </si>
  <si>
    <t>Elizabeth Manzur Guajardo</t>
  </si>
  <si>
    <t>Veronica Coronado Gonzalez</t>
  </si>
  <si>
    <t>Mariana Guerra Vazquez</t>
  </si>
  <si>
    <t>Angeles de Luna Carrera</t>
  </si>
  <si>
    <t>Karla Elizabeth Silva Díaz</t>
  </si>
  <si>
    <t>Valeria Vazquez Manca</t>
  </si>
  <si>
    <t>Karolina Allegra Ramirez Hernandez</t>
  </si>
  <si>
    <t>Nirva Gerhard Lopez Portillo</t>
  </si>
  <si>
    <t>Adriana Magally Gallegos Medina</t>
  </si>
  <si>
    <t>Marussia Ortiz Farfan</t>
  </si>
  <si>
    <t>Roberta Alvarez</t>
  </si>
  <si>
    <t>Sebastian Garza Garcia</t>
  </si>
  <si>
    <t>Maria Elisa Treviño Lozano</t>
  </si>
  <si>
    <t>Sofia Davalos Romo</t>
  </si>
  <si>
    <t>Dainha Marissa Valenzuela Sanchez</t>
  </si>
  <si>
    <t>Natalia Reyes</t>
  </si>
  <si>
    <t>Cecilia Torres Villarreal</t>
  </si>
  <si>
    <t>Karem Gutierrez</t>
  </si>
  <si>
    <t>Erika Fernanda Cisneros Mata</t>
  </si>
  <si>
    <t>Regina Martinez Kirchner</t>
  </si>
  <si>
    <t>Patilla</t>
  </si>
  <si>
    <t>Jimena Casas Fernandez</t>
  </si>
  <si>
    <t>Andrea Fernandez Sandoval</t>
  </si>
  <si>
    <t>Eugenia Sofia Rendon Treviño</t>
  </si>
  <si>
    <t>Maria Fernanda Barra Mercado</t>
  </si>
  <si>
    <t>Dolores Del Carmen Garcia Jaimes</t>
  </si>
  <si>
    <t>Liliana Gonzalez Ortiz</t>
  </si>
  <si>
    <t>Carlos Gonzalez</t>
  </si>
  <si>
    <t>Samantha Garza Reza</t>
  </si>
  <si>
    <t>Dra. Alejandra Miranda</t>
  </si>
  <si>
    <t>Carolina Victoria Galvez Cervantes</t>
  </si>
  <si>
    <t>Pompis</t>
  </si>
  <si>
    <t/>
  </si>
  <si>
    <t>Pierna completa with Anna Davila at Cedapiel Humberto Lobo on Thu, 20 Nov 2025 from 9:00 a.m. to 10:00 a.m.</t>
  </si>
  <si>
    <t>3/4 de brazo with Xochitl Arlen Patlan Hernandez at Cedapiel Humberto Lobo on Thu, 20 Nov 2025 from 9:30 a.m. to 10:30 a.m.</t>
  </si>
  <si>
    <t>Pierna completa with Lupita Pineda at Cedapiel Pueblo Serena on Thu, 20 Nov 2025 from 9:30 a.m. to 10:30 a.m.</t>
  </si>
  <si>
    <t>Hydrafacial with Liliana Araujo at Cedapiel Humberto Lobo on Thu, 20 Nov 2025 from 9:30 a.m. to 10:30 a.m.</t>
  </si>
  <si>
    <t>Hydrafacial with Alma Edith Becerra R a.m.irez at Cedapiel Pueblo Serena on Thu, 20 Nov 2025 from 9:30 a.m. to 10:30 a.m.</t>
  </si>
  <si>
    <t>Axila with Elisa De la Rosa at Cedapiel Pueblo Serena on Thu, 20 Nov 2025 from 10:00 a.m. to 10:30 a.m.</t>
  </si>
  <si>
    <t>Media pierna with Anna Davila at Cedapiel Humberto Lobo on Thu, 20 Nov 2025 from 10:00 a.m. to 11:00 a.m.</t>
  </si>
  <si>
    <t>Medio brazo with Lucy Rdz at Cedapiel Humberto Lobo on Thu, 20 Nov 2025 from 10:00 a.m. to 10:30 a.m.</t>
  </si>
  <si>
    <t>Brazo completo with Vanessa Rodriguez at Cedapiel San Agustin on Thu, 20 Nov 2025 from 10:00 a.m. to 11:00 a.m.</t>
  </si>
  <si>
    <t>Media cara with Blanca Ayala at Cedapiel San Agustin on Thu, 20 Nov 2025 from 10:15 a.m. to 11:00 a.m.</t>
  </si>
  <si>
    <t>Pierna completa with Xochitl Arlen Patlan Hernandez at Cedapiel Humberto Lobo on Thu, 20 Nov 2025 from 10:30 a.m. to 11:30 a.m.</t>
  </si>
  <si>
    <t>Bikini with Leydi Angelica Perez Dominguez at Cedapiel Humberto Lobo on Thu, 20 Nov 2025 from 10:30 a.m. to 11:00 a.m.</t>
  </si>
  <si>
    <t>Media cara with Lupita Pineda at Cedapiel Pueblo Serena on Thu, 20 Nov 2025 from 10:30 a.m. to 11:00 a.m.</t>
  </si>
  <si>
    <t>Valoracion online with Dra Emma Beltran at Cedapiel Humberto Lobo on Thu, 20 Nov 2025 from 11:00 a.m. to 11:30 a.m.</t>
  </si>
  <si>
    <t>Bikini with Anna Davila at Cedapiel Humberto Lobo on Thu, 20 Nov 2025 from 11:00 a.m. to 11:30 a.m.</t>
  </si>
  <si>
    <t>Bikini with Vanessa Rodriguez at Cedapiel San Agustin on Thu, 20 Nov 2025 from 11:00 a.m. to 11:30 a.m.</t>
  </si>
  <si>
    <t>Axila with Blanca Ayala at Cedapiel San Agustin on Thu, 20 Nov 2025 from 11:00 a.m. to 11:30 a.m.</t>
  </si>
  <si>
    <t>Bikini with Leydi Angelica Perez Dominguez at Cedapiel Humberto Lobo on Thu, 20 Nov 2025 from 11:00 a.m. to 11:30 a.m.</t>
  </si>
  <si>
    <t>Media cara with Marilu Perez Castro at Cedapiel Cumbres Sikara on Thu, 20 Nov 2025 from 11:00 a.m. to 11:30 a.m.</t>
  </si>
  <si>
    <t>Radiofrecuencia facial with Lucy Rdz at Cedapiel Humberto Lobo on Thu, 20 Nov 2025 from 11:00 a.m. to 12:00 p.m.</t>
  </si>
  <si>
    <t>Hydrafacial with Liliana Araujo at Cedapiel Humberto Lobo on Thu, 20 Nov 2025 from 11:00 a.m. to 12:00 p.m.</t>
  </si>
  <si>
    <t>Pierna completa with Blanca Ayala at Cedapiel San Agustin on Thu, 20 Nov 2025 from 11:30 a.m. to 1:45 p.m.</t>
  </si>
  <si>
    <t>Media cara with Alma Edith Becerra R a.m.irez at Cedapiel Pueblo Serena on Thu, 20 Nov 2025 from 11:30 a.m. to 12:30 p.m.</t>
  </si>
  <si>
    <t>Media cara with Xochitl Arlen Patlan Hernandez at Cedapiel Humberto Lobo on Thu, 20 Nov 2025 from 11:30 a.m. to 12:00 p.m.</t>
  </si>
  <si>
    <t>Valoracion facial with Lucy Rdz at Cedapiel Humberto Lobo on Thu, 20 Nov 2025 from 12:00 p.m. to 12:30 p.m.</t>
  </si>
  <si>
    <t>Pierna completa with Anna Davila at Cedapiel Humberto Lobo on Thu, 20 Nov 2025 from 12:00 p.m. to 1:00 p.m.</t>
  </si>
  <si>
    <t>Facial piel normal with Liliana Araujo at Cedapiel Humberto Lobo on Thu, 20 Nov 2025 from 12:00 p.m. to 1:00 p.m.</t>
  </si>
  <si>
    <t>Bikini with Leydi Angelica Perez Dominguez at Cedapiel Humberto Lobo on Thu, 20 Nov 2025 from 12:00 p.m. to 12:30 p.m.</t>
  </si>
  <si>
    <t>Media pierna with Xochitl Arlen Patlan Hernandez at Cedapiel Humberto Lobo on Thu, 20 Nov 2025 from 12:30 p.m. to 1:15 p.m.</t>
  </si>
  <si>
    <t>Micro blanque a.m.iento with Lucy Rdz at Cedapiel Humberto Lobo on Thu, 20 Nov 2025 from 12:30 p.m. to 1:00 p.m.</t>
  </si>
  <si>
    <t>Media cara with Alma Edith Becerra R a.m.irez at Cedapiel Pueblo Serena on Thu, 20 Nov 2025 from 1:00 p.m. to 1:30 p.m.</t>
  </si>
  <si>
    <t>Bikini with Anna Davila at Cedapiel Humberto Lobo on Thu, 20 Nov 2025 from 1:00 p.m. to 1:30 p.m.</t>
  </si>
  <si>
    <t>Bikini with Lupita Pineda at Cedapiel Pueblo Serena on Thu, 20 Nov 2025 from 1:00 p.m. to 1:30 p.m.</t>
  </si>
  <si>
    <t>Valoracion corporal with Dra Maricarmen Alanis at Cedapiel Pueblo Serena on Thu, 20 Nov 2025 from 1:00 p.m. to 1:30 p.m.</t>
  </si>
  <si>
    <t>Bikini with Vanessa Rodriguez at Cedapiel San Agustin on Thu, 20 Nov 2025 from 1:00 p.m. to 1:30 p.m.</t>
  </si>
  <si>
    <t>Pecho with Anna Davila at Cedapiel Humberto Lobo on Thu, 20 Nov 2025 from 1:30 p.m. to 2:00 p.m.</t>
  </si>
  <si>
    <t>Venus Facial with Lupita Pineda at Cedapiel Pueblo Serena on Thu, 20 Nov 2025 from 1:30 p.m. to 2:30 p.m.</t>
  </si>
  <si>
    <t>Axila with Marilu Perez Castro at Cedapiel Cumbres Sikara on Thu, 20 Nov 2025 from 1:30 p.m. to 2:00 p.m.</t>
  </si>
  <si>
    <t>Pierna completa with Anna Davila at Cedapiel Humberto Lobo on Thu, 20 Nov 2025 from 2:00 p.m. to 3:00 p.m.</t>
  </si>
  <si>
    <t>Axila with Alma Edith Becerra R a.m.irez at Cedapiel Pueblo Serena on Thu, 20 Nov 2025 from 2:00 p.m. to 2:30 p.m.</t>
  </si>
  <si>
    <t>Hydrafacial with Lucy Rdz at Cedapiel Humberto Lobo on Thu, 20 Nov 2025 from 2:00 p.m. to 3:00 p.m.</t>
  </si>
  <si>
    <t>Media cara with Vanessa Rodriguez at Cedapiel San Agustin on Thu, 20 Nov 2025 from 2:00 p.m. to 3:00 p.m.</t>
  </si>
  <si>
    <t>Axila with Xochitl Arlen Patlan Hernandez at Cedapiel Humberto Lobo on Thu, 20 Nov 2025 from 2:30 p.m. to 3:00 p.m.</t>
  </si>
  <si>
    <t>Orejas with Judith Mercado at Cedapiel Pueblo Serena on Thu, 20 Nov 2025 from 3:00 p.m. to 3:30 p.m.</t>
  </si>
  <si>
    <t>Venus Legacy with Elisa De la Rosa at Cedapiel Pueblo Serena on Thu, 20 Nov 2025 from 3:00 p.m. to 4:00 p.m.</t>
  </si>
  <si>
    <t>Bikini with Mariana Medina at Cedapiel Cumbres Sikara on Thu, 20 Nov 2025 from 3:30 p.m. to 4:00 p.m.</t>
  </si>
  <si>
    <t>Bikini with Maricela C a.m.pos at Cedapiel Cumbres Sikara on Thu, 20 Nov 2025 from 3:30 p.m. to 4:00 p.m.</t>
  </si>
  <si>
    <t>Pierna completa with Natividad Ot a.m.endi at Cedapiel Humberto Lobo on Thu, 20 Nov 2025 from 3:30 p.m. to 4:30 p.m.</t>
  </si>
  <si>
    <t>Pierna completa with Maricela C a.m.pos at Cedapiel Cumbres Sikara on Thu, 20 Nov 2025 from 4:00 p.m. to 5:00 p.m.</t>
  </si>
  <si>
    <t>Facial piel normal with Lucy Rdz at Cedapiel Humberto Lobo on Thu, 20 Nov 2025 from 4:00 p.m. to 4:45 p.m.</t>
  </si>
  <si>
    <t>Micro blanque a.m.iento with Lucy Rdz at Cedapiel Humberto Lobo on Thu, 20 Nov 2025 from 4:45 p.m. to 5:00 p.m.</t>
  </si>
  <si>
    <t>Hydrafacial with Liliana Araujo at Cedapiel Humberto Lobo on Thu, 20 Nov 2025 from 4:00 p.m. to 5:00 p.m.</t>
  </si>
  <si>
    <t>Media cara with Leydi Angelica Perez Dominguez at Cedapiel Humberto Lobo on Thu, 20 Nov 2025 from 4:00 p.m. to 4:30 p.m.</t>
  </si>
  <si>
    <t>Media pierna with Elisa De la Rosa at Cedapiel Pueblo Serena on Thu, 20 Nov 2025 from 4:00 p.m. to 5:00 p.m.</t>
  </si>
  <si>
    <t>Medio brazo with Blanca Ayala at Cedapiel San Agustin on Thu, 20 Nov 2025 from 4:00 p.m. to 5:00 p.m.</t>
  </si>
  <si>
    <t>Media pierna with Mariana Medina at Cedapiel Cumbres Sikara on Thu, 20 Nov 2025 from 4:00 p.m. to 5:00 p.m.</t>
  </si>
  <si>
    <t>Micro post-quemada with Dra Maricarmen Alanis at Cedapiel Pueblo Serena on Thu, 20 Nov 2025 from 4:30 p.m. to 5:00 p.m.</t>
  </si>
  <si>
    <t>Bikini with Leydi Angelica Perez Dominguez at Cedapiel Humberto Lobo on Thu, 20 Nov 2025 from 5:00 p.m. to 5:30 p.m.</t>
  </si>
  <si>
    <t>Media cara with Natividad Ot a.m.endi at Cedapiel Humberto Lobo on Thu, 20 Nov 2025 from 5:00 p.m. to 5:30 p.m.</t>
  </si>
  <si>
    <t>Media pierna with Blanca Ayala at Cedapiel San Agustin on Thu, 20 Nov 2025 from 5:00 p.m. to 6:00 p.m.</t>
  </si>
  <si>
    <t>Media cara with Judith Mercado at Cedapiel Pueblo Serena on Thu, 20 Nov 2025 from 5:00 p.m. to 5:30 p.m.</t>
  </si>
  <si>
    <t>Media cara with Roberta Alvarez at Cedapiel San Agustin on Thu, 20 Nov 2025 from 5:00 p.m. to 5:30 p.m.</t>
  </si>
  <si>
    <t>Facial piel normal with Liliana Araujo at Cedapiel Humberto Lobo on Thu, 20 Nov 2025 from 5:00 p.m. to 6:00 p.m.</t>
  </si>
  <si>
    <t>Patilla with Natividad Ot a.m.endi at Cedapiel Humberto Lobo on Thu, 20 Nov 2025 from 5:30 p.m. to 6:00 p.m.</t>
  </si>
  <si>
    <t>Valoracion laser with Dra Maricarmen Alanis at Cedapiel Pueblo Serena on Thu, 20 Nov 2025 from 5:30 p.m. to 6:00 p.m.</t>
  </si>
  <si>
    <t>Media cara with Judith Mercado at Cedapiel Pueblo Serena on Thu, 20 Nov 2025 from 5:30 p.m. to 6:00 p.m.</t>
  </si>
  <si>
    <t>Cara completa with Natalia Reyes at Cedapiel Humberto Lobo on Thu, 20 Nov 2025 from 5:30 p.m. to 6:00 p.m.</t>
  </si>
  <si>
    <t>Axila with Leydi Angelica Perez Dominguez at Cedapiel Humberto Lobo on Thu, 20 Nov 2025 from 5:30 p.m. to 6:00 p.m.</t>
  </si>
  <si>
    <t>Medio brazo with Blanca Ayala at Cedapiel San Agustin on Thu, 20 Nov 2025 from 6:00 p.m. to 7:00 p.m.</t>
  </si>
  <si>
    <t>Brazo completo with Leydi Angelica Perez Dominguez at Cedapiel Humberto Lobo on Thu, 20 Nov 2025 from 6:00 p.m. to 7:00 p.m.</t>
  </si>
  <si>
    <t>Bikini with Dra Maricarmen Alanis at Cedapiel Pueblo Serena on Thu, 20 Nov 2025 from 6:00 p.m. to 6:30 p.m.</t>
  </si>
  <si>
    <t>Bikini with Natividad Ot a.m.endi at Cedapiel Humberto Lobo on Thu, 20 Nov 2025 from 6:00 p.m. to 6:30 p.m.</t>
  </si>
  <si>
    <t>Axila with Judith Mercado at Cedapiel Pueblo Serena on Thu, 20 Nov 2025 from 6:00 p.m. to 6:30 p.m.</t>
  </si>
  <si>
    <t>Media cara with Natalia Reyes at Cedapiel Humberto Lobo on Thu, 20 Nov 2025 from 6:00 p.m. to 6:30 p.m.</t>
  </si>
  <si>
    <t>Axila with Roberta Alvarez at Cedapiel San Agustin on Thu, 20 Nov 2025 from 6:15 p.m. to 6:45 p.m.</t>
  </si>
  <si>
    <t>Bikini with Elisa De la Rosa at Cedapiel Pueblo Serena on Thu, 20 Nov 2025 from 6:30 p.m. to 7:00 p.m.</t>
  </si>
  <si>
    <t>Venus Legacy with Natividad Ot a.m.endi at Cedapiel Humberto Lobo on Thu, 20 Nov 2025 from 6:30 p.m. to 8:00 p.m.</t>
  </si>
  <si>
    <t>Valoracion laser with Dra Maricarmen Alanis at Cedapiel Pueblo Serena on Thu, 20 Nov 2025 from 6:30 p.m. to 7:00 p.m.</t>
  </si>
  <si>
    <t>Valoracion laser with Dra. Alejandra Miranda at Cedapiel Cumbres Sikara on Thu, 20 Nov 2025 from 6:30 p.m. to 7:00 p.m.</t>
  </si>
  <si>
    <t>Bikini with Natalia Reyes at Cedapiel Humberto Lobo on Thu, 20 Nov 2025 from 7:00 p.m. to 7:30 p.m.</t>
  </si>
  <si>
    <t>Derrier with Judith Mercado at Cedapiel Pueblo Serena on Thu, 20 Nov 2025 from 7:00 p.m. to 7:30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</si>
</sst>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\ mmm\ yyyy"/>
    <numFmt numFmtId="165" formatCode="[$-10409]#,##0.00"/>
    <numFmt numFmtId="168" formatCode="[$]h:mm\ AM/PM;@" x16r2:formatCode16="[$-en-MX,1]h:mm\ AM/PM;@"/>
  </numFmts>
  <fonts count="10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0"/>
      <color rgb="FF000000"/>
      <name val="Arial"/>
      <family val="2"/>
    </font>
    <font>
      <b/>
      <sz val="15"/>
      <color rgb="FF696969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9"/>
      <color rgb="FF0000FF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4">
    <border>
      <left/>
      <right/>
      <top/>
      <bottom/>
      <diagonal/>
    </border>
    <border>
      <left/>
      <right/>
      <top style="thick">
        <color rgb="FF696969"/>
      </top>
      <bottom/>
      <diagonal/>
    </border>
    <border>
      <left/>
      <right/>
      <top/>
      <bottom style="thin">
        <color rgb="FFDCDCDC"/>
      </bottom>
      <diagonal/>
    </border>
    <border>
      <left/>
      <right/>
      <top style="thin">
        <color rgb="FFDCDCDC"/>
      </top>
      <bottom style="double">
        <color rgb="FFDCDCDC"/>
      </bottom>
      <diagonal/>
    </border>
  </borders>
  <cellStyleXfs count="1">
    <xf numFmtId="0" fontId="0" fillId="0" borderId="0"/>
  </cellStyleXfs>
  <cellXfs count="20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5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6" fillId="0" borderId="2" xfId="0" applyFont="1" applyBorder="1" applyAlignment="1">
      <alignment horizontal="left" vertical="center" wrapText="1" readingOrder="1"/>
    </xf>
    <xf numFmtId="164" fontId="7" fillId="0" borderId="2" xfId="0" applyNumberFormat="1" applyFont="1" applyBorder="1" applyAlignment="1">
      <alignment horizontal="left" vertical="center" wrapText="1" readingOrder="1"/>
    </xf>
    <xf numFmtId="0" fontId="7" fillId="0" borderId="2" xfId="0" applyFont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left" vertical="center" wrapText="1" readingOrder="1"/>
    </xf>
    <xf numFmtId="165" fontId="7" fillId="0" borderId="2" xfId="0" applyNumberFormat="1" applyFont="1" applyBorder="1" applyAlignment="1">
      <alignment horizontal="right" vertical="center" wrapText="1" readingOrder="1"/>
    </xf>
    <xf numFmtId="0" fontId="9" fillId="0" borderId="3" xfId="0" applyFont="1" applyBorder="1" applyAlignment="1">
      <alignment horizontal="left" vertical="center" wrapText="1" readingOrder="1"/>
    </xf>
    <xf numFmtId="0" fontId="9" fillId="0" borderId="3" xfId="0" applyFont="1" applyBorder="1" applyAlignment="1">
      <alignment horizontal="right" vertical="center" wrapText="1" readingOrder="1"/>
    </xf>
    <xf numFmtId="165" fontId="9" fillId="0" borderId="3" xfId="0" applyNumberFormat="1" applyFont="1" applyBorder="1" applyAlignment="1">
      <alignment horizontal="right" vertical="center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center" wrapText="1" readingOrder="1"/>
    </xf>
    <xf numFmtId="168" fontId="1" fillId="0" borderId="0" xfId="0" applyNumberFormat="1" applyFont="1"/>
    <xf numFmtId="168" fontId="1" fillId="0" borderId="1" xfId="0" applyNumberFormat="1" applyFont="1" applyBorder="1" applyAlignment="1">
      <alignment vertical="top" wrapText="1"/>
    </xf>
    <xf numFmtId="168" fontId="5" fillId="2" borderId="0" xfId="0" applyNumberFormat="1" applyFont="1" applyFill="1" applyAlignment="1">
      <alignment horizontal="left" vertical="center" wrapText="1" readingOrder="1"/>
    </xf>
    <xf numFmtId="168" fontId="8" fillId="0" borderId="2" xfId="0" applyNumberFormat="1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CDCD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gettimely.com/billing/viewinvoice/185229811" TargetMode="External"/><Relationship Id="rId299" Type="http://schemas.openxmlformats.org/officeDocument/2006/relationships/hyperlink" Target="https://app.gettimely.com/billing/viewinvoice/185256621" TargetMode="External"/><Relationship Id="rId21" Type="http://schemas.openxmlformats.org/officeDocument/2006/relationships/hyperlink" Target="https://app.gettimely.com/billing/viewinvoice/185226932" TargetMode="External"/><Relationship Id="rId63" Type="http://schemas.openxmlformats.org/officeDocument/2006/relationships/hyperlink" Target="https://app.gettimely.com/billing/viewinvoice/185228358" TargetMode="External"/><Relationship Id="rId159" Type="http://schemas.openxmlformats.org/officeDocument/2006/relationships/hyperlink" Target="https://app.gettimely.com/billing/viewinvoice/185233770" TargetMode="External"/><Relationship Id="rId324" Type="http://schemas.openxmlformats.org/officeDocument/2006/relationships/hyperlink" Target="https://app.gettimely.com/customer/customers/85980651" TargetMode="External"/><Relationship Id="rId366" Type="http://schemas.openxmlformats.org/officeDocument/2006/relationships/hyperlink" Target="https://app.gettimely.com/customer/customers/67528140" TargetMode="External"/><Relationship Id="rId170" Type="http://schemas.openxmlformats.org/officeDocument/2006/relationships/hyperlink" Target="https://app.gettimely.com/customer/customers/84805767" TargetMode="External"/><Relationship Id="rId226" Type="http://schemas.openxmlformats.org/officeDocument/2006/relationships/hyperlink" Target="https://app.gettimely.com/customer/customers/62618652" TargetMode="External"/><Relationship Id="rId268" Type="http://schemas.openxmlformats.org/officeDocument/2006/relationships/hyperlink" Target="https://app.gettimely.com/customer/customers/77006547" TargetMode="External"/><Relationship Id="rId32" Type="http://schemas.openxmlformats.org/officeDocument/2006/relationships/hyperlink" Target="https://app.gettimely.com/customer/customers/62624277" TargetMode="External"/><Relationship Id="rId74" Type="http://schemas.openxmlformats.org/officeDocument/2006/relationships/hyperlink" Target="https://app.gettimely.com/customer/customers/62612377" TargetMode="External"/><Relationship Id="rId128" Type="http://schemas.openxmlformats.org/officeDocument/2006/relationships/hyperlink" Target="https://app.gettimely.com/customer/customers/62615026" TargetMode="External"/><Relationship Id="rId335" Type="http://schemas.openxmlformats.org/officeDocument/2006/relationships/hyperlink" Target="https://app.gettimely.com/billing/viewinvoice/185261805" TargetMode="External"/><Relationship Id="rId5" Type="http://schemas.openxmlformats.org/officeDocument/2006/relationships/hyperlink" Target="https://app.gettimely.com/billing/viewinvoice/185187068" TargetMode="External"/><Relationship Id="rId181" Type="http://schemas.openxmlformats.org/officeDocument/2006/relationships/hyperlink" Target="https://app.gettimely.com/billing/viewinvoice/185236968" TargetMode="External"/><Relationship Id="rId237" Type="http://schemas.openxmlformats.org/officeDocument/2006/relationships/hyperlink" Target="https://app.gettimely.com/billing/viewinvoice/185250220" TargetMode="External"/><Relationship Id="rId279" Type="http://schemas.openxmlformats.org/officeDocument/2006/relationships/hyperlink" Target="https://app.gettimely.com/billing/viewinvoice/185251438" TargetMode="External"/><Relationship Id="rId43" Type="http://schemas.openxmlformats.org/officeDocument/2006/relationships/hyperlink" Target="https://app.gettimely.com/billing/viewinvoice/185228573" TargetMode="External"/><Relationship Id="rId139" Type="http://schemas.openxmlformats.org/officeDocument/2006/relationships/hyperlink" Target="https://app.gettimely.com/billing/viewinvoice/185235491" TargetMode="External"/><Relationship Id="rId290" Type="http://schemas.openxmlformats.org/officeDocument/2006/relationships/hyperlink" Target="https://app.gettimely.com/customer/customers/62623133" TargetMode="External"/><Relationship Id="rId304" Type="http://schemas.openxmlformats.org/officeDocument/2006/relationships/hyperlink" Target="https://app.gettimely.com/customer/customers/62614040" TargetMode="External"/><Relationship Id="rId346" Type="http://schemas.openxmlformats.org/officeDocument/2006/relationships/hyperlink" Target="https://app.gettimely.com/customer/customers/65762870" TargetMode="External"/><Relationship Id="rId85" Type="http://schemas.openxmlformats.org/officeDocument/2006/relationships/hyperlink" Target="https://app.gettimely.com/billing/viewinvoice/185229626" TargetMode="External"/><Relationship Id="rId150" Type="http://schemas.openxmlformats.org/officeDocument/2006/relationships/hyperlink" Target="https://app.gettimely.com/customer/customers/80775386" TargetMode="External"/><Relationship Id="rId192" Type="http://schemas.openxmlformats.org/officeDocument/2006/relationships/hyperlink" Target="https://app.gettimely.com/customer/customers/85432945" TargetMode="External"/><Relationship Id="rId206" Type="http://schemas.openxmlformats.org/officeDocument/2006/relationships/hyperlink" Target="https://app.gettimely.com/customer/customers/87791124" TargetMode="External"/><Relationship Id="rId248" Type="http://schemas.openxmlformats.org/officeDocument/2006/relationships/hyperlink" Target="https://app.gettimely.com/customer/customers/77006547" TargetMode="External"/><Relationship Id="rId12" Type="http://schemas.openxmlformats.org/officeDocument/2006/relationships/hyperlink" Target="https://app.gettimely.com/customer/customers/62618420" TargetMode="External"/><Relationship Id="rId108" Type="http://schemas.openxmlformats.org/officeDocument/2006/relationships/hyperlink" Target="https://app.gettimely.com/customer/customers/62624608" TargetMode="External"/><Relationship Id="rId315" Type="http://schemas.openxmlformats.org/officeDocument/2006/relationships/hyperlink" Target="https://app.gettimely.com/billing/viewinvoice/185257688" TargetMode="External"/><Relationship Id="rId357" Type="http://schemas.openxmlformats.org/officeDocument/2006/relationships/hyperlink" Target="https://app.gettimely.com/billing/viewinvoice/185268977" TargetMode="External"/><Relationship Id="rId54" Type="http://schemas.openxmlformats.org/officeDocument/2006/relationships/hyperlink" Target="https://app.gettimely.com/customer/customers/62622294" TargetMode="External"/><Relationship Id="rId96" Type="http://schemas.openxmlformats.org/officeDocument/2006/relationships/hyperlink" Target="https://app.gettimely.com/customer/customers/71647404" TargetMode="External"/><Relationship Id="rId161" Type="http://schemas.openxmlformats.org/officeDocument/2006/relationships/hyperlink" Target="https://app.gettimely.com/billing/viewinvoice/185234811" TargetMode="External"/><Relationship Id="rId217" Type="http://schemas.openxmlformats.org/officeDocument/2006/relationships/hyperlink" Target="https://app.gettimely.com/billing/viewinvoice/185243550" TargetMode="External"/><Relationship Id="rId259" Type="http://schemas.openxmlformats.org/officeDocument/2006/relationships/hyperlink" Target="https://app.gettimely.com/billing/viewinvoice/185248065" TargetMode="External"/><Relationship Id="rId23" Type="http://schemas.openxmlformats.org/officeDocument/2006/relationships/hyperlink" Target="https://app.gettimely.com/billing/viewinvoice/185226932" TargetMode="External"/><Relationship Id="rId119" Type="http://schemas.openxmlformats.org/officeDocument/2006/relationships/hyperlink" Target="https://app.gettimely.com/billing/viewinvoice/185231917" TargetMode="External"/><Relationship Id="rId270" Type="http://schemas.openxmlformats.org/officeDocument/2006/relationships/hyperlink" Target="https://app.gettimely.com/customer/customers/81195251" TargetMode="External"/><Relationship Id="rId326" Type="http://schemas.openxmlformats.org/officeDocument/2006/relationships/hyperlink" Target="https://app.gettimely.com/customer/customers/85980651" TargetMode="External"/><Relationship Id="rId65" Type="http://schemas.openxmlformats.org/officeDocument/2006/relationships/hyperlink" Target="https://app.gettimely.com/billing/viewinvoice/185227829" TargetMode="External"/><Relationship Id="rId130" Type="http://schemas.openxmlformats.org/officeDocument/2006/relationships/hyperlink" Target="https://app.gettimely.com/customer/customers/62615026" TargetMode="External"/><Relationship Id="rId368" Type="http://schemas.openxmlformats.org/officeDocument/2006/relationships/hyperlink" Target="https://app.gettimely.com/customer/customers/91668234" TargetMode="External"/><Relationship Id="rId172" Type="http://schemas.openxmlformats.org/officeDocument/2006/relationships/hyperlink" Target="https://app.gettimely.com/customer/customers/89649873" TargetMode="External"/><Relationship Id="rId228" Type="http://schemas.openxmlformats.org/officeDocument/2006/relationships/hyperlink" Target="https://app.gettimely.com/customer/customers/62618652" TargetMode="External"/><Relationship Id="rId281" Type="http://schemas.openxmlformats.org/officeDocument/2006/relationships/hyperlink" Target="https://app.gettimely.com/billing/viewinvoice/185252881" TargetMode="External"/><Relationship Id="rId337" Type="http://schemas.openxmlformats.org/officeDocument/2006/relationships/hyperlink" Target="https://app.gettimely.com/billing/viewinvoice/185261805" TargetMode="External"/><Relationship Id="rId34" Type="http://schemas.openxmlformats.org/officeDocument/2006/relationships/hyperlink" Target="https://app.gettimely.com/customer/customers/62624239" TargetMode="External"/><Relationship Id="rId76" Type="http://schemas.openxmlformats.org/officeDocument/2006/relationships/hyperlink" Target="https://app.gettimely.com/customer/customers/62619268" TargetMode="External"/><Relationship Id="rId141" Type="http://schemas.openxmlformats.org/officeDocument/2006/relationships/hyperlink" Target="https://app.gettimely.com/billing/viewinvoice/185235491" TargetMode="External"/><Relationship Id="rId7" Type="http://schemas.openxmlformats.org/officeDocument/2006/relationships/hyperlink" Target="https://app.gettimely.com/billing/viewinvoice/185226323" TargetMode="External"/><Relationship Id="rId183" Type="http://schemas.openxmlformats.org/officeDocument/2006/relationships/hyperlink" Target="https://app.gettimely.com/billing/viewinvoice/185239373" TargetMode="External"/><Relationship Id="rId239" Type="http://schemas.openxmlformats.org/officeDocument/2006/relationships/hyperlink" Target="https://app.gettimely.com/billing/viewinvoice/185250220" TargetMode="External"/><Relationship Id="rId250" Type="http://schemas.openxmlformats.org/officeDocument/2006/relationships/hyperlink" Target="https://app.gettimely.com/customer/customers/84601683" TargetMode="External"/><Relationship Id="rId292" Type="http://schemas.openxmlformats.org/officeDocument/2006/relationships/hyperlink" Target="https://app.gettimely.com/customer/customers/62623133" TargetMode="External"/><Relationship Id="rId306" Type="http://schemas.openxmlformats.org/officeDocument/2006/relationships/hyperlink" Target="https://app.gettimely.com/customer/customers/91653696" TargetMode="External"/><Relationship Id="rId45" Type="http://schemas.openxmlformats.org/officeDocument/2006/relationships/hyperlink" Target="https://app.gettimely.com/billing/viewinvoice/185228573" TargetMode="External"/><Relationship Id="rId87" Type="http://schemas.openxmlformats.org/officeDocument/2006/relationships/hyperlink" Target="https://app.gettimely.com/billing/viewinvoice/185229626" TargetMode="External"/><Relationship Id="rId110" Type="http://schemas.openxmlformats.org/officeDocument/2006/relationships/hyperlink" Target="https://app.gettimely.com/customer/customers/62624608" TargetMode="External"/><Relationship Id="rId348" Type="http://schemas.openxmlformats.org/officeDocument/2006/relationships/hyperlink" Target="https://app.gettimely.com/customer/customers/62620354" TargetMode="External"/><Relationship Id="rId152" Type="http://schemas.openxmlformats.org/officeDocument/2006/relationships/hyperlink" Target="https://app.gettimely.com/customer/customers/80775386" TargetMode="External"/><Relationship Id="rId194" Type="http://schemas.openxmlformats.org/officeDocument/2006/relationships/hyperlink" Target="https://app.gettimely.com/customer/customers/85432945" TargetMode="External"/><Relationship Id="rId208" Type="http://schemas.openxmlformats.org/officeDocument/2006/relationships/hyperlink" Target="https://app.gettimely.com/customer/customers/75161991" TargetMode="External"/><Relationship Id="rId261" Type="http://schemas.openxmlformats.org/officeDocument/2006/relationships/hyperlink" Target="https://app.gettimely.com/billing/viewinvoice/185248065" TargetMode="External"/><Relationship Id="rId14" Type="http://schemas.openxmlformats.org/officeDocument/2006/relationships/hyperlink" Target="https://app.gettimely.com/customer/customers/62618420" TargetMode="External"/><Relationship Id="rId56" Type="http://schemas.openxmlformats.org/officeDocument/2006/relationships/hyperlink" Target="https://app.gettimely.com/customer/customers/62619163" TargetMode="External"/><Relationship Id="rId317" Type="http://schemas.openxmlformats.org/officeDocument/2006/relationships/hyperlink" Target="https://app.gettimely.com/billing/viewinvoice/185255632" TargetMode="External"/><Relationship Id="rId359" Type="http://schemas.openxmlformats.org/officeDocument/2006/relationships/hyperlink" Target="https://app.gettimely.com/billing/viewinvoice/185267060" TargetMode="External"/><Relationship Id="rId98" Type="http://schemas.openxmlformats.org/officeDocument/2006/relationships/hyperlink" Target="https://app.gettimely.com/customer/customers/62620152" TargetMode="External"/><Relationship Id="rId121" Type="http://schemas.openxmlformats.org/officeDocument/2006/relationships/hyperlink" Target="https://app.gettimely.com/billing/viewinvoice/185232822" TargetMode="External"/><Relationship Id="rId163" Type="http://schemas.openxmlformats.org/officeDocument/2006/relationships/hyperlink" Target="https://app.gettimely.com/billing/viewinvoice/185234679" TargetMode="External"/><Relationship Id="rId219" Type="http://schemas.openxmlformats.org/officeDocument/2006/relationships/hyperlink" Target="https://app.gettimely.com/billing/viewinvoice/185243550" TargetMode="External"/><Relationship Id="rId370" Type="http://schemas.openxmlformats.org/officeDocument/2006/relationships/hyperlink" Target="https://app.gettimely.com/customer/customers/91668234" TargetMode="External"/><Relationship Id="rId230" Type="http://schemas.openxmlformats.org/officeDocument/2006/relationships/hyperlink" Target="https://app.gettimely.com/customer/customers/84311689" TargetMode="External"/><Relationship Id="rId25" Type="http://schemas.openxmlformats.org/officeDocument/2006/relationships/hyperlink" Target="https://app.gettimely.com/billing/viewinvoice/185226932" TargetMode="External"/><Relationship Id="rId67" Type="http://schemas.openxmlformats.org/officeDocument/2006/relationships/hyperlink" Target="https://app.gettimely.com/billing/viewinvoice/185227829" TargetMode="External"/><Relationship Id="rId272" Type="http://schemas.openxmlformats.org/officeDocument/2006/relationships/hyperlink" Target="https://app.gettimely.com/customer/customers/81195251" TargetMode="External"/><Relationship Id="rId328" Type="http://schemas.openxmlformats.org/officeDocument/2006/relationships/hyperlink" Target="https://app.gettimely.com/customer/customers/82012442" TargetMode="External"/><Relationship Id="rId132" Type="http://schemas.openxmlformats.org/officeDocument/2006/relationships/hyperlink" Target="https://app.gettimely.com/customer/customers/62615026" TargetMode="External"/><Relationship Id="rId174" Type="http://schemas.openxmlformats.org/officeDocument/2006/relationships/hyperlink" Target="https://app.gettimely.com/customer/customers/84805767" TargetMode="External"/><Relationship Id="rId241" Type="http://schemas.openxmlformats.org/officeDocument/2006/relationships/hyperlink" Target="https://app.gettimely.com/billing/viewinvoice/185250991" TargetMode="External"/><Relationship Id="rId36" Type="http://schemas.openxmlformats.org/officeDocument/2006/relationships/hyperlink" Target="https://app.gettimely.com/customer/customers/62624239" TargetMode="External"/><Relationship Id="rId283" Type="http://schemas.openxmlformats.org/officeDocument/2006/relationships/hyperlink" Target="https://app.gettimely.com/billing/viewinvoice/185254877" TargetMode="External"/><Relationship Id="rId339" Type="http://schemas.openxmlformats.org/officeDocument/2006/relationships/hyperlink" Target="https://app.gettimely.com/billing/viewinvoice/185263030" TargetMode="External"/><Relationship Id="rId78" Type="http://schemas.openxmlformats.org/officeDocument/2006/relationships/hyperlink" Target="https://app.gettimely.com/customer/customers/62620679" TargetMode="External"/><Relationship Id="rId99" Type="http://schemas.openxmlformats.org/officeDocument/2006/relationships/hyperlink" Target="https://app.gettimely.com/billing/viewinvoice/185235835" TargetMode="External"/><Relationship Id="rId101" Type="http://schemas.openxmlformats.org/officeDocument/2006/relationships/hyperlink" Target="https://app.gettimely.com/billing/viewinvoice/185235835" TargetMode="External"/><Relationship Id="rId122" Type="http://schemas.openxmlformats.org/officeDocument/2006/relationships/hyperlink" Target="https://app.gettimely.com/customer/customers/63588909" TargetMode="External"/><Relationship Id="rId143" Type="http://schemas.openxmlformats.org/officeDocument/2006/relationships/hyperlink" Target="https://app.gettimely.com/billing/viewinvoice/185232768" TargetMode="External"/><Relationship Id="rId164" Type="http://schemas.openxmlformats.org/officeDocument/2006/relationships/hyperlink" Target="https://app.gettimely.com/customer/customers/90772221" TargetMode="External"/><Relationship Id="rId185" Type="http://schemas.openxmlformats.org/officeDocument/2006/relationships/hyperlink" Target="https://app.gettimely.com/billing/viewinvoice/185239373" TargetMode="External"/><Relationship Id="rId350" Type="http://schemas.openxmlformats.org/officeDocument/2006/relationships/hyperlink" Target="https://app.gettimely.com/customer/customers/89637817" TargetMode="External"/><Relationship Id="rId371" Type="http://schemas.openxmlformats.org/officeDocument/2006/relationships/hyperlink" Target="https://app.gettimely.com/billing/viewinvoice/185274243" TargetMode="External"/><Relationship Id="rId9" Type="http://schemas.openxmlformats.org/officeDocument/2006/relationships/hyperlink" Target="https://app.gettimely.com/billing/viewinvoice/185226323" TargetMode="External"/><Relationship Id="rId210" Type="http://schemas.openxmlformats.org/officeDocument/2006/relationships/hyperlink" Target="https://app.gettimely.com/customer/customers/75161991" TargetMode="External"/><Relationship Id="rId26" Type="http://schemas.openxmlformats.org/officeDocument/2006/relationships/hyperlink" Target="https://app.gettimely.com/customer/customers/88670465" TargetMode="External"/><Relationship Id="rId231" Type="http://schemas.openxmlformats.org/officeDocument/2006/relationships/hyperlink" Target="https://app.gettimely.com/billing/viewinvoice/185250220" TargetMode="External"/><Relationship Id="rId252" Type="http://schemas.openxmlformats.org/officeDocument/2006/relationships/hyperlink" Target="https://app.gettimely.com/customer/customers/87543633" TargetMode="External"/><Relationship Id="rId273" Type="http://schemas.openxmlformats.org/officeDocument/2006/relationships/hyperlink" Target="https://app.gettimely.com/billing/viewinvoice/185246426" TargetMode="External"/><Relationship Id="rId294" Type="http://schemas.openxmlformats.org/officeDocument/2006/relationships/hyperlink" Target="https://app.gettimely.com/customer/customers/90618347" TargetMode="External"/><Relationship Id="rId308" Type="http://schemas.openxmlformats.org/officeDocument/2006/relationships/hyperlink" Target="https://app.gettimely.com/customer/customers/74243671" TargetMode="External"/><Relationship Id="rId329" Type="http://schemas.openxmlformats.org/officeDocument/2006/relationships/hyperlink" Target="https://app.gettimely.com/billing/viewinvoice/185266148" TargetMode="External"/><Relationship Id="rId47" Type="http://schemas.openxmlformats.org/officeDocument/2006/relationships/hyperlink" Target="https://app.gettimely.com/billing/viewinvoice/185228573" TargetMode="External"/><Relationship Id="rId68" Type="http://schemas.openxmlformats.org/officeDocument/2006/relationships/hyperlink" Target="https://app.gettimely.com/customer/customers/62625329" TargetMode="External"/><Relationship Id="rId89" Type="http://schemas.openxmlformats.org/officeDocument/2006/relationships/hyperlink" Target="https://app.gettimely.com/billing/viewinvoice/185229655" TargetMode="External"/><Relationship Id="rId112" Type="http://schemas.openxmlformats.org/officeDocument/2006/relationships/hyperlink" Target="https://app.gettimely.com/customer/customers/62624608" TargetMode="External"/><Relationship Id="rId133" Type="http://schemas.openxmlformats.org/officeDocument/2006/relationships/hyperlink" Target="https://app.gettimely.com/billing/viewinvoice/185232822" TargetMode="External"/><Relationship Id="rId154" Type="http://schemas.openxmlformats.org/officeDocument/2006/relationships/hyperlink" Target="https://app.gettimely.com/customer/customers/79812316" TargetMode="External"/><Relationship Id="rId175" Type="http://schemas.openxmlformats.org/officeDocument/2006/relationships/hyperlink" Target="https://app.gettimely.com/billing/viewinvoice/185236968" TargetMode="External"/><Relationship Id="rId340" Type="http://schemas.openxmlformats.org/officeDocument/2006/relationships/hyperlink" Target="https://app.gettimely.com/customer/customers/65762870" TargetMode="External"/><Relationship Id="rId361" Type="http://schemas.openxmlformats.org/officeDocument/2006/relationships/hyperlink" Target="https://app.gettimely.com/billing/viewinvoice/185273618" TargetMode="External"/><Relationship Id="rId196" Type="http://schemas.openxmlformats.org/officeDocument/2006/relationships/hyperlink" Target="https://app.gettimely.com/customer/customers/62620661" TargetMode="External"/><Relationship Id="rId200" Type="http://schemas.openxmlformats.org/officeDocument/2006/relationships/hyperlink" Target="https://app.gettimely.com/customer/customers/62618912" TargetMode="External"/><Relationship Id="rId16" Type="http://schemas.openxmlformats.org/officeDocument/2006/relationships/hyperlink" Target="https://app.gettimely.com/customer/customers/88670465" TargetMode="External"/><Relationship Id="rId221" Type="http://schemas.openxmlformats.org/officeDocument/2006/relationships/hyperlink" Target="https://app.gettimely.com/billing/viewinvoice/185247744" TargetMode="External"/><Relationship Id="rId242" Type="http://schemas.openxmlformats.org/officeDocument/2006/relationships/hyperlink" Target="https://app.gettimely.com/customer/customers/84601683" TargetMode="External"/><Relationship Id="rId263" Type="http://schemas.openxmlformats.org/officeDocument/2006/relationships/hyperlink" Target="https://app.gettimely.com/billing/viewinvoice/185248065" TargetMode="External"/><Relationship Id="rId284" Type="http://schemas.openxmlformats.org/officeDocument/2006/relationships/hyperlink" Target="https://app.gettimely.com/customer/customers/62621455" TargetMode="External"/><Relationship Id="rId319" Type="http://schemas.openxmlformats.org/officeDocument/2006/relationships/hyperlink" Target="https://app.gettimely.com/billing/viewinvoice/185265334" TargetMode="External"/><Relationship Id="rId37" Type="http://schemas.openxmlformats.org/officeDocument/2006/relationships/hyperlink" Target="https://app.gettimely.com/billing/viewinvoice/185228904" TargetMode="External"/><Relationship Id="rId58" Type="http://schemas.openxmlformats.org/officeDocument/2006/relationships/hyperlink" Target="https://app.gettimely.com/customer/customers/62619163" TargetMode="External"/><Relationship Id="rId79" Type="http://schemas.openxmlformats.org/officeDocument/2006/relationships/hyperlink" Target="https://app.gettimely.com/billing/viewinvoice/185230402" TargetMode="External"/><Relationship Id="rId102" Type="http://schemas.openxmlformats.org/officeDocument/2006/relationships/hyperlink" Target="https://app.gettimely.com/customer/customers/62620152" TargetMode="External"/><Relationship Id="rId123" Type="http://schemas.openxmlformats.org/officeDocument/2006/relationships/hyperlink" Target="https://app.gettimely.com/billing/viewinvoice/185232748" TargetMode="External"/><Relationship Id="rId144" Type="http://schemas.openxmlformats.org/officeDocument/2006/relationships/hyperlink" Target="https://app.gettimely.com/customer/customers/62619175" TargetMode="External"/><Relationship Id="rId330" Type="http://schemas.openxmlformats.org/officeDocument/2006/relationships/hyperlink" Target="https://app.gettimely.com/customer/customers/82012442" TargetMode="External"/><Relationship Id="rId90" Type="http://schemas.openxmlformats.org/officeDocument/2006/relationships/hyperlink" Target="https://app.gettimely.com/customer/customers/71647404" TargetMode="External"/><Relationship Id="rId165" Type="http://schemas.openxmlformats.org/officeDocument/2006/relationships/hyperlink" Target="https://app.gettimely.com/billing/viewinvoice/185234679" TargetMode="External"/><Relationship Id="rId186" Type="http://schemas.openxmlformats.org/officeDocument/2006/relationships/hyperlink" Target="https://app.gettimely.com/customer/customers/72800210" TargetMode="External"/><Relationship Id="rId351" Type="http://schemas.openxmlformats.org/officeDocument/2006/relationships/hyperlink" Target="https://app.gettimely.com/billing/viewinvoice/185269101" TargetMode="External"/><Relationship Id="rId372" Type="http://schemas.openxmlformats.org/officeDocument/2006/relationships/hyperlink" Target="https://app.gettimely.com/customer/customers/91668234" TargetMode="External"/><Relationship Id="rId211" Type="http://schemas.openxmlformats.org/officeDocument/2006/relationships/hyperlink" Target="https://app.gettimely.com/billing/viewinvoice/185242234" TargetMode="External"/><Relationship Id="rId232" Type="http://schemas.openxmlformats.org/officeDocument/2006/relationships/hyperlink" Target="https://app.gettimely.com/customer/customers/84311689" TargetMode="External"/><Relationship Id="rId253" Type="http://schemas.openxmlformats.org/officeDocument/2006/relationships/hyperlink" Target="https://app.gettimely.com/billing/viewinvoice/185245228" TargetMode="External"/><Relationship Id="rId274" Type="http://schemas.openxmlformats.org/officeDocument/2006/relationships/hyperlink" Target="https://app.gettimely.com/customer/customers/81195251" TargetMode="External"/><Relationship Id="rId295" Type="http://schemas.openxmlformats.org/officeDocument/2006/relationships/hyperlink" Target="https://app.gettimely.com/billing/viewinvoice/185253785" TargetMode="External"/><Relationship Id="rId309" Type="http://schemas.openxmlformats.org/officeDocument/2006/relationships/hyperlink" Target="https://app.gettimely.com/billing/viewinvoice/185258584" TargetMode="External"/><Relationship Id="rId27" Type="http://schemas.openxmlformats.org/officeDocument/2006/relationships/hyperlink" Target="https://app.gettimely.com/billing/viewinvoice/185227633" TargetMode="External"/><Relationship Id="rId48" Type="http://schemas.openxmlformats.org/officeDocument/2006/relationships/hyperlink" Target="https://app.gettimely.com/customer/customers/62624209" TargetMode="External"/><Relationship Id="rId69" Type="http://schemas.openxmlformats.org/officeDocument/2006/relationships/hyperlink" Target="https://app.gettimely.com/billing/viewinvoice/185228814" TargetMode="External"/><Relationship Id="rId113" Type="http://schemas.openxmlformats.org/officeDocument/2006/relationships/hyperlink" Target="https://app.gettimely.com/billing/viewinvoice/185231684" TargetMode="External"/><Relationship Id="rId134" Type="http://schemas.openxmlformats.org/officeDocument/2006/relationships/hyperlink" Target="https://app.gettimely.com/customer/customers/63588909" TargetMode="External"/><Relationship Id="rId320" Type="http://schemas.openxmlformats.org/officeDocument/2006/relationships/hyperlink" Target="https://app.gettimely.com/customer/customers/89637763" TargetMode="External"/><Relationship Id="rId80" Type="http://schemas.openxmlformats.org/officeDocument/2006/relationships/hyperlink" Target="https://app.gettimely.com/customer/customers/62620679" TargetMode="External"/><Relationship Id="rId155" Type="http://schemas.openxmlformats.org/officeDocument/2006/relationships/hyperlink" Target="https://app.gettimely.com/billing/viewinvoice/185233770" TargetMode="External"/><Relationship Id="rId176" Type="http://schemas.openxmlformats.org/officeDocument/2006/relationships/hyperlink" Target="https://app.gettimely.com/customer/customers/85432945" TargetMode="External"/><Relationship Id="rId197" Type="http://schemas.openxmlformats.org/officeDocument/2006/relationships/hyperlink" Target="https://app.gettimely.com/billing/viewinvoice/185238884" TargetMode="External"/><Relationship Id="rId341" Type="http://schemas.openxmlformats.org/officeDocument/2006/relationships/hyperlink" Target="https://app.gettimely.com/billing/viewinvoice/185263030" TargetMode="External"/><Relationship Id="rId362" Type="http://schemas.openxmlformats.org/officeDocument/2006/relationships/hyperlink" Target="https://app.gettimely.com/customer/customers/67528140" TargetMode="External"/><Relationship Id="rId201" Type="http://schemas.openxmlformats.org/officeDocument/2006/relationships/hyperlink" Target="https://app.gettimely.com/billing/viewinvoice/185238884" TargetMode="External"/><Relationship Id="rId222" Type="http://schemas.openxmlformats.org/officeDocument/2006/relationships/hyperlink" Target="https://app.gettimely.com/customer/customers/62618652" TargetMode="External"/><Relationship Id="rId243" Type="http://schemas.openxmlformats.org/officeDocument/2006/relationships/hyperlink" Target="https://app.gettimely.com/billing/viewinvoice/185249146" TargetMode="External"/><Relationship Id="rId264" Type="http://schemas.openxmlformats.org/officeDocument/2006/relationships/hyperlink" Target="https://app.gettimely.com/customer/customers/66239959" TargetMode="External"/><Relationship Id="rId285" Type="http://schemas.openxmlformats.org/officeDocument/2006/relationships/hyperlink" Target="https://app.gettimely.com/billing/viewinvoice/185259815" TargetMode="External"/><Relationship Id="rId17" Type="http://schemas.openxmlformats.org/officeDocument/2006/relationships/hyperlink" Target="https://app.gettimely.com/billing/viewinvoice/185226932" TargetMode="External"/><Relationship Id="rId38" Type="http://schemas.openxmlformats.org/officeDocument/2006/relationships/hyperlink" Target="https://app.gettimely.com/customer/customers/62619675" TargetMode="External"/><Relationship Id="rId59" Type="http://schemas.openxmlformats.org/officeDocument/2006/relationships/hyperlink" Target="https://app.gettimely.com/billing/viewinvoice/185228358" TargetMode="External"/><Relationship Id="rId103" Type="http://schemas.openxmlformats.org/officeDocument/2006/relationships/hyperlink" Target="https://app.gettimely.com/billing/viewinvoice/185235835" TargetMode="External"/><Relationship Id="rId124" Type="http://schemas.openxmlformats.org/officeDocument/2006/relationships/hyperlink" Target="https://app.gettimely.com/customer/customers/62620905" TargetMode="External"/><Relationship Id="rId310" Type="http://schemas.openxmlformats.org/officeDocument/2006/relationships/hyperlink" Target="https://app.gettimely.com/customer/customers/74243671" TargetMode="External"/><Relationship Id="rId70" Type="http://schemas.openxmlformats.org/officeDocument/2006/relationships/hyperlink" Target="https://app.gettimely.com/customer/customers/91829664" TargetMode="External"/><Relationship Id="rId91" Type="http://schemas.openxmlformats.org/officeDocument/2006/relationships/hyperlink" Target="https://app.gettimely.com/billing/viewinvoice/185229655" TargetMode="External"/><Relationship Id="rId145" Type="http://schemas.openxmlformats.org/officeDocument/2006/relationships/hyperlink" Target="https://app.gettimely.com/billing/viewinvoice/185234312" TargetMode="External"/><Relationship Id="rId166" Type="http://schemas.openxmlformats.org/officeDocument/2006/relationships/hyperlink" Target="https://app.gettimely.com/customer/customers/90772221" TargetMode="External"/><Relationship Id="rId187" Type="http://schemas.openxmlformats.org/officeDocument/2006/relationships/hyperlink" Target="https://app.gettimely.com/billing/viewinvoice/185239373" TargetMode="External"/><Relationship Id="rId331" Type="http://schemas.openxmlformats.org/officeDocument/2006/relationships/hyperlink" Target="https://app.gettimely.com/billing/viewinvoice/185266148" TargetMode="External"/><Relationship Id="rId352" Type="http://schemas.openxmlformats.org/officeDocument/2006/relationships/hyperlink" Target="https://app.gettimely.com/customer/customers/77988392" TargetMode="External"/><Relationship Id="rId373" Type="http://schemas.openxmlformats.org/officeDocument/2006/relationships/hyperlink" Target="https://app.gettimely.com/billing/viewinvoice/185274243" TargetMode="External"/><Relationship Id="rId1" Type="http://schemas.openxmlformats.org/officeDocument/2006/relationships/hyperlink" Target="https://app.gettimely.com/billing/viewinvoice/185234901" TargetMode="External"/><Relationship Id="rId212" Type="http://schemas.openxmlformats.org/officeDocument/2006/relationships/hyperlink" Target="https://app.gettimely.com/customer/customers/89649873" TargetMode="External"/><Relationship Id="rId233" Type="http://schemas.openxmlformats.org/officeDocument/2006/relationships/hyperlink" Target="https://app.gettimely.com/billing/viewinvoice/185250220" TargetMode="External"/><Relationship Id="rId254" Type="http://schemas.openxmlformats.org/officeDocument/2006/relationships/hyperlink" Target="https://app.gettimely.com/customer/customers/88230781" TargetMode="External"/><Relationship Id="rId28" Type="http://schemas.openxmlformats.org/officeDocument/2006/relationships/hyperlink" Target="https://app.gettimely.com/customer/customers/62622396" TargetMode="External"/><Relationship Id="rId49" Type="http://schemas.openxmlformats.org/officeDocument/2006/relationships/hyperlink" Target="https://app.gettimely.com/billing/viewinvoice/185228904" TargetMode="External"/><Relationship Id="rId114" Type="http://schemas.openxmlformats.org/officeDocument/2006/relationships/hyperlink" Target="https://app.gettimely.com/customer/customers/62624608" TargetMode="External"/><Relationship Id="rId275" Type="http://schemas.openxmlformats.org/officeDocument/2006/relationships/hyperlink" Target="https://app.gettimely.com/billing/viewinvoice/185246426" TargetMode="External"/><Relationship Id="rId296" Type="http://schemas.openxmlformats.org/officeDocument/2006/relationships/hyperlink" Target="https://app.gettimely.com/customer/customers/87525841" TargetMode="External"/><Relationship Id="rId300" Type="http://schemas.openxmlformats.org/officeDocument/2006/relationships/hyperlink" Target="https://app.gettimely.com/customer/customers/77088472" TargetMode="External"/><Relationship Id="rId60" Type="http://schemas.openxmlformats.org/officeDocument/2006/relationships/hyperlink" Target="https://app.gettimely.com/customer/customers/91005220" TargetMode="External"/><Relationship Id="rId81" Type="http://schemas.openxmlformats.org/officeDocument/2006/relationships/hyperlink" Target="https://app.gettimely.com/billing/viewinvoice/185229364" TargetMode="External"/><Relationship Id="rId135" Type="http://schemas.openxmlformats.org/officeDocument/2006/relationships/hyperlink" Target="https://app.gettimely.com/billing/viewinvoice/185232822" TargetMode="External"/><Relationship Id="rId156" Type="http://schemas.openxmlformats.org/officeDocument/2006/relationships/hyperlink" Target="https://app.gettimely.com/customer/customers/79812316" TargetMode="External"/><Relationship Id="rId177" Type="http://schemas.openxmlformats.org/officeDocument/2006/relationships/hyperlink" Target="https://app.gettimely.com/billing/viewinvoice/185236968" TargetMode="External"/><Relationship Id="rId198" Type="http://schemas.openxmlformats.org/officeDocument/2006/relationships/hyperlink" Target="https://app.gettimely.com/customer/customers/62618912" TargetMode="External"/><Relationship Id="rId321" Type="http://schemas.openxmlformats.org/officeDocument/2006/relationships/hyperlink" Target="https://app.gettimely.com/billing/viewinvoice/185265334" TargetMode="External"/><Relationship Id="rId342" Type="http://schemas.openxmlformats.org/officeDocument/2006/relationships/hyperlink" Target="https://app.gettimely.com/customer/customers/65762870" TargetMode="External"/><Relationship Id="rId363" Type="http://schemas.openxmlformats.org/officeDocument/2006/relationships/hyperlink" Target="https://app.gettimely.com/billing/viewinvoice/185273618" TargetMode="External"/><Relationship Id="rId202" Type="http://schemas.openxmlformats.org/officeDocument/2006/relationships/hyperlink" Target="https://app.gettimely.com/customer/customers/62618912" TargetMode="External"/><Relationship Id="rId223" Type="http://schemas.openxmlformats.org/officeDocument/2006/relationships/hyperlink" Target="https://app.gettimely.com/billing/viewinvoice/185247744" TargetMode="External"/><Relationship Id="rId244" Type="http://schemas.openxmlformats.org/officeDocument/2006/relationships/hyperlink" Target="https://app.gettimely.com/customer/customers/77006547" TargetMode="External"/><Relationship Id="rId18" Type="http://schemas.openxmlformats.org/officeDocument/2006/relationships/hyperlink" Target="https://app.gettimely.com/customer/customers/88670465" TargetMode="External"/><Relationship Id="rId39" Type="http://schemas.openxmlformats.org/officeDocument/2006/relationships/hyperlink" Target="https://app.gettimely.com/billing/viewinvoice/185228253" TargetMode="External"/><Relationship Id="rId265" Type="http://schemas.openxmlformats.org/officeDocument/2006/relationships/hyperlink" Target="https://app.gettimely.com/billing/viewinvoice/185248065" TargetMode="External"/><Relationship Id="rId286" Type="http://schemas.openxmlformats.org/officeDocument/2006/relationships/hyperlink" Target="https://app.gettimely.com/customer/customers/62623133" TargetMode="External"/><Relationship Id="rId50" Type="http://schemas.openxmlformats.org/officeDocument/2006/relationships/hyperlink" Target="https://app.gettimely.com/customer/customers/62619675" TargetMode="External"/><Relationship Id="rId104" Type="http://schemas.openxmlformats.org/officeDocument/2006/relationships/hyperlink" Target="https://app.gettimely.com/customer/customers/62620152" TargetMode="External"/><Relationship Id="rId125" Type="http://schemas.openxmlformats.org/officeDocument/2006/relationships/hyperlink" Target="https://app.gettimely.com/billing/viewinvoice/185232748" TargetMode="External"/><Relationship Id="rId146" Type="http://schemas.openxmlformats.org/officeDocument/2006/relationships/hyperlink" Target="https://app.gettimely.com/customer/customers/83170241" TargetMode="External"/><Relationship Id="rId167" Type="http://schemas.openxmlformats.org/officeDocument/2006/relationships/hyperlink" Target="https://app.gettimely.com/billing/viewinvoice/185235963" TargetMode="External"/><Relationship Id="rId188" Type="http://schemas.openxmlformats.org/officeDocument/2006/relationships/hyperlink" Target="https://app.gettimely.com/customer/customers/72800210" TargetMode="External"/><Relationship Id="rId311" Type="http://schemas.openxmlformats.org/officeDocument/2006/relationships/hyperlink" Target="https://app.gettimely.com/billing/viewinvoice/185258584" TargetMode="External"/><Relationship Id="rId332" Type="http://schemas.openxmlformats.org/officeDocument/2006/relationships/hyperlink" Target="https://app.gettimely.com/customer/customers/82012442" TargetMode="External"/><Relationship Id="rId353" Type="http://schemas.openxmlformats.org/officeDocument/2006/relationships/hyperlink" Target="https://app.gettimely.com/billing/viewinvoice/185269101" TargetMode="External"/><Relationship Id="rId374" Type="http://schemas.openxmlformats.org/officeDocument/2006/relationships/hyperlink" Target="https://app.gettimely.com/customer/customers/91668234" TargetMode="External"/><Relationship Id="rId71" Type="http://schemas.openxmlformats.org/officeDocument/2006/relationships/hyperlink" Target="https://app.gettimely.com/billing/viewinvoice/185230373" TargetMode="External"/><Relationship Id="rId92" Type="http://schemas.openxmlformats.org/officeDocument/2006/relationships/hyperlink" Target="https://app.gettimely.com/customer/customers/71647404" TargetMode="External"/><Relationship Id="rId213" Type="http://schemas.openxmlformats.org/officeDocument/2006/relationships/hyperlink" Target="https://app.gettimely.com/billing/viewinvoice/185243055" TargetMode="External"/><Relationship Id="rId234" Type="http://schemas.openxmlformats.org/officeDocument/2006/relationships/hyperlink" Target="https://app.gettimely.com/customer/customers/84311689" TargetMode="External"/><Relationship Id="rId2" Type="http://schemas.openxmlformats.org/officeDocument/2006/relationships/hyperlink" Target="https://app.gettimely.com/customer/customers/62625505" TargetMode="External"/><Relationship Id="rId29" Type="http://schemas.openxmlformats.org/officeDocument/2006/relationships/hyperlink" Target="https://app.gettimely.com/billing/viewinvoice/185227197" TargetMode="External"/><Relationship Id="rId255" Type="http://schemas.openxmlformats.org/officeDocument/2006/relationships/hyperlink" Target="https://app.gettimely.com/billing/viewinvoice/185248065" TargetMode="External"/><Relationship Id="rId276" Type="http://schemas.openxmlformats.org/officeDocument/2006/relationships/hyperlink" Target="https://app.gettimely.com/customer/customers/81195251" TargetMode="External"/><Relationship Id="rId297" Type="http://schemas.openxmlformats.org/officeDocument/2006/relationships/hyperlink" Target="https://app.gettimely.com/billing/viewinvoice/185253785" TargetMode="External"/><Relationship Id="rId40" Type="http://schemas.openxmlformats.org/officeDocument/2006/relationships/hyperlink" Target="https://app.gettimely.com/customer/customers/62622434" TargetMode="External"/><Relationship Id="rId115" Type="http://schemas.openxmlformats.org/officeDocument/2006/relationships/hyperlink" Target="https://app.gettimely.com/billing/viewinvoice/185231684" TargetMode="External"/><Relationship Id="rId136" Type="http://schemas.openxmlformats.org/officeDocument/2006/relationships/hyperlink" Target="https://app.gettimely.com/customer/customers/63588909" TargetMode="External"/><Relationship Id="rId157" Type="http://schemas.openxmlformats.org/officeDocument/2006/relationships/hyperlink" Target="https://app.gettimely.com/billing/viewinvoice/185233770" TargetMode="External"/><Relationship Id="rId178" Type="http://schemas.openxmlformats.org/officeDocument/2006/relationships/hyperlink" Target="https://app.gettimely.com/customer/customers/85432945" TargetMode="External"/><Relationship Id="rId301" Type="http://schemas.openxmlformats.org/officeDocument/2006/relationships/hyperlink" Target="https://app.gettimely.com/billing/viewinvoice/185256621" TargetMode="External"/><Relationship Id="rId322" Type="http://schemas.openxmlformats.org/officeDocument/2006/relationships/hyperlink" Target="https://app.gettimely.com/customer/customers/89637763" TargetMode="External"/><Relationship Id="rId343" Type="http://schemas.openxmlformats.org/officeDocument/2006/relationships/hyperlink" Target="https://app.gettimely.com/billing/viewinvoice/185263030" TargetMode="External"/><Relationship Id="rId364" Type="http://schemas.openxmlformats.org/officeDocument/2006/relationships/hyperlink" Target="https://app.gettimely.com/customer/customers/67528140" TargetMode="External"/><Relationship Id="rId61" Type="http://schemas.openxmlformats.org/officeDocument/2006/relationships/hyperlink" Target="https://app.gettimely.com/billing/viewinvoice/185228358" TargetMode="External"/><Relationship Id="rId82" Type="http://schemas.openxmlformats.org/officeDocument/2006/relationships/hyperlink" Target="https://app.gettimely.com/customer/customers/90585978" TargetMode="External"/><Relationship Id="rId199" Type="http://schemas.openxmlformats.org/officeDocument/2006/relationships/hyperlink" Target="https://app.gettimely.com/billing/viewinvoice/185238884" TargetMode="External"/><Relationship Id="rId203" Type="http://schemas.openxmlformats.org/officeDocument/2006/relationships/hyperlink" Target="https://app.gettimely.com/billing/viewinvoice/185238884" TargetMode="External"/><Relationship Id="rId19" Type="http://schemas.openxmlformats.org/officeDocument/2006/relationships/hyperlink" Target="https://app.gettimely.com/billing/viewinvoice/185226932" TargetMode="External"/><Relationship Id="rId224" Type="http://schemas.openxmlformats.org/officeDocument/2006/relationships/hyperlink" Target="https://app.gettimely.com/customer/customers/62618652" TargetMode="External"/><Relationship Id="rId245" Type="http://schemas.openxmlformats.org/officeDocument/2006/relationships/hyperlink" Target="https://app.gettimely.com/billing/viewinvoice/185249146" TargetMode="External"/><Relationship Id="rId266" Type="http://schemas.openxmlformats.org/officeDocument/2006/relationships/hyperlink" Target="https://app.gettimely.com/customer/customers/66239959" TargetMode="External"/><Relationship Id="rId287" Type="http://schemas.openxmlformats.org/officeDocument/2006/relationships/hyperlink" Target="https://app.gettimely.com/billing/viewinvoice/185259815" TargetMode="External"/><Relationship Id="rId30" Type="http://schemas.openxmlformats.org/officeDocument/2006/relationships/hyperlink" Target="https://app.gettimely.com/customer/customers/62624277" TargetMode="External"/><Relationship Id="rId105" Type="http://schemas.openxmlformats.org/officeDocument/2006/relationships/hyperlink" Target="https://app.gettimely.com/billing/viewinvoice/185231684" TargetMode="External"/><Relationship Id="rId126" Type="http://schemas.openxmlformats.org/officeDocument/2006/relationships/hyperlink" Target="https://app.gettimely.com/customer/customers/62620905" TargetMode="External"/><Relationship Id="rId147" Type="http://schemas.openxmlformats.org/officeDocument/2006/relationships/hyperlink" Target="https://app.gettimely.com/billing/viewinvoice/185234794" TargetMode="External"/><Relationship Id="rId168" Type="http://schemas.openxmlformats.org/officeDocument/2006/relationships/hyperlink" Target="https://app.gettimely.com/customer/customers/88007325" TargetMode="External"/><Relationship Id="rId312" Type="http://schemas.openxmlformats.org/officeDocument/2006/relationships/hyperlink" Target="https://app.gettimely.com/customer/customers/74243671" TargetMode="External"/><Relationship Id="rId333" Type="http://schemas.openxmlformats.org/officeDocument/2006/relationships/hyperlink" Target="https://app.gettimely.com/billing/viewinvoice/185266148" TargetMode="External"/><Relationship Id="rId354" Type="http://schemas.openxmlformats.org/officeDocument/2006/relationships/hyperlink" Target="https://app.gettimely.com/customer/customers/77988392" TargetMode="External"/><Relationship Id="rId51" Type="http://schemas.openxmlformats.org/officeDocument/2006/relationships/hyperlink" Target="https://app.gettimely.com/billing/viewinvoice/185228904" TargetMode="External"/><Relationship Id="rId72" Type="http://schemas.openxmlformats.org/officeDocument/2006/relationships/hyperlink" Target="https://app.gettimely.com/customer/customers/62612377" TargetMode="External"/><Relationship Id="rId93" Type="http://schemas.openxmlformats.org/officeDocument/2006/relationships/hyperlink" Target="https://app.gettimely.com/billing/viewinvoice/185229655" TargetMode="External"/><Relationship Id="rId189" Type="http://schemas.openxmlformats.org/officeDocument/2006/relationships/hyperlink" Target="https://app.gettimely.com/billing/viewinvoice/185239373" TargetMode="External"/><Relationship Id="rId3" Type="http://schemas.openxmlformats.org/officeDocument/2006/relationships/hyperlink" Target="https://app.gettimely.com/billing/viewinvoice/185264244" TargetMode="External"/><Relationship Id="rId214" Type="http://schemas.openxmlformats.org/officeDocument/2006/relationships/hyperlink" Target="https://app.gettimely.com/customer/customers/86740531" TargetMode="External"/><Relationship Id="rId235" Type="http://schemas.openxmlformats.org/officeDocument/2006/relationships/hyperlink" Target="https://app.gettimely.com/billing/viewinvoice/185250220" TargetMode="External"/><Relationship Id="rId256" Type="http://schemas.openxmlformats.org/officeDocument/2006/relationships/hyperlink" Target="https://app.gettimely.com/customer/customers/66239959" TargetMode="External"/><Relationship Id="rId277" Type="http://schemas.openxmlformats.org/officeDocument/2006/relationships/hyperlink" Target="https://app.gettimely.com/billing/viewinvoice/185264633" TargetMode="External"/><Relationship Id="rId298" Type="http://schemas.openxmlformats.org/officeDocument/2006/relationships/hyperlink" Target="https://app.gettimely.com/customer/customers/87525841" TargetMode="External"/><Relationship Id="rId116" Type="http://schemas.openxmlformats.org/officeDocument/2006/relationships/hyperlink" Target="https://app.gettimely.com/customer/customers/62624608" TargetMode="External"/><Relationship Id="rId137" Type="http://schemas.openxmlformats.org/officeDocument/2006/relationships/hyperlink" Target="https://app.gettimely.com/billing/viewinvoice/185235491" TargetMode="External"/><Relationship Id="rId158" Type="http://schemas.openxmlformats.org/officeDocument/2006/relationships/hyperlink" Target="https://app.gettimely.com/customer/customers/79812316" TargetMode="External"/><Relationship Id="rId302" Type="http://schemas.openxmlformats.org/officeDocument/2006/relationships/hyperlink" Target="https://app.gettimely.com/customer/customers/77088472" TargetMode="External"/><Relationship Id="rId323" Type="http://schemas.openxmlformats.org/officeDocument/2006/relationships/hyperlink" Target="https://app.gettimely.com/billing/viewinvoice/185262239" TargetMode="External"/><Relationship Id="rId344" Type="http://schemas.openxmlformats.org/officeDocument/2006/relationships/hyperlink" Target="https://app.gettimely.com/customer/customers/65762870" TargetMode="External"/><Relationship Id="rId20" Type="http://schemas.openxmlformats.org/officeDocument/2006/relationships/hyperlink" Target="https://app.gettimely.com/customer/customers/88670465" TargetMode="External"/><Relationship Id="rId41" Type="http://schemas.openxmlformats.org/officeDocument/2006/relationships/hyperlink" Target="https://app.gettimely.com/billing/viewinvoice/185228253" TargetMode="External"/><Relationship Id="rId62" Type="http://schemas.openxmlformats.org/officeDocument/2006/relationships/hyperlink" Target="https://app.gettimely.com/customer/customers/91005220" TargetMode="External"/><Relationship Id="rId83" Type="http://schemas.openxmlformats.org/officeDocument/2006/relationships/hyperlink" Target="https://app.gettimely.com/billing/viewinvoice/185229168" TargetMode="External"/><Relationship Id="rId179" Type="http://schemas.openxmlformats.org/officeDocument/2006/relationships/hyperlink" Target="https://app.gettimely.com/billing/viewinvoice/185236968" TargetMode="External"/><Relationship Id="rId365" Type="http://schemas.openxmlformats.org/officeDocument/2006/relationships/hyperlink" Target="https://app.gettimely.com/billing/viewinvoice/185273618" TargetMode="External"/><Relationship Id="rId190" Type="http://schemas.openxmlformats.org/officeDocument/2006/relationships/hyperlink" Target="https://app.gettimely.com/customer/customers/72800210" TargetMode="External"/><Relationship Id="rId204" Type="http://schemas.openxmlformats.org/officeDocument/2006/relationships/hyperlink" Target="https://app.gettimely.com/customer/customers/62618912" TargetMode="External"/><Relationship Id="rId225" Type="http://schemas.openxmlformats.org/officeDocument/2006/relationships/hyperlink" Target="https://app.gettimely.com/billing/viewinvoice/185247744" TargetMode="External"/><Relationship Id="rId246" Type="http://schemas.openxmlformats.org/officeDocument/2006/relationships/hyperlink" Target="https://app.gettimely.com/customer/customers/77006547" TargetMode="External"/><Relationship Id="rId267" Type="http://schemas.openxmlformats.org/officeDocument/2006/relationships/hyperlink" Target="https://app.gettimely.com/billing/viewinvoice/185249146" TargetMode="External"/><Relationship Id="rId288" Type="http://schemas.openxmlformats.org/officeDocument/2006/relationships/hyperlink" Target="https://app.gettimely.com/customer/customers/62623133" TargetMode="External"/><Relationship Id="rId106" Type="http://schemas.openxmlformats.org/officeDocument/2006/relationships/hyperlink" Target="https://app.gettimely.com/customer/customers/62624608" TargetMode="External"/><Relationship Id="rId127" Type="http://schemas.openxmlformats.org/officeDocument/2006/relationships/hyperlink" Target="https://app.gettimely.com/billing/viewinvoice/185231958" TargetMode="External"/><Relationship Id="rId313" Type="http://schemas.openxmlformats.org/officeDocument/2006/relationships/hyperlink" Target="https://app.gettimely.com/billing/viewinvoice/185258584" TargetMode="External"/><Relationship Id="rId10" Type="http://schemas.openxmlformats.org/officeDocument/2006/relationships/hyperlink" Target="https://app.gettimely.com/customer/customers/81010749" TargetMode="External"/><Relationship Id="rId31" Type="http://schemas.openxmlformats.org/officeDocument/2006/relationships/hyperlink" Target="https://app.gettimely.com/billing/viewinvoice/185227197" TargetMode="External"/><Relationship Id="rId52" Type="http://schemas.openxmlformats.org/officeDocument/2006/relationships/hyperlink" Target="https://app.gettimely.com/customer/customers/62619675" TargetMode="External"/><Relationship Id="rId73" Type="http://schemas.openxmlformats.org/officeDocument/2006/relationships/hyperlink" Target="https://app.gettimely.com/billing/viewinvoice/185230373" TargetMode="External"/><Relationship Id="rId94" Type="http://schemas.openxmlformats.org/officeDocument/2006/relationships/hyperlink" Target="https://app.gettimely.com/customer/customers/71647404" TargetMode="External"/><Relationship Id="rId148" Type="http://schemas.openxmlformats.org/officeDocument/2006/relationships/hyperlink" Target="https://app.gettimely.com/customer/customers/80775386" TargetMode="External"/><Relationship Id="rId169" Type="http://schemas.openxmlformats.org/officeDocument/2006/relationships/hyperlink" Target="https://app.gettimely.com/billing/viewinvoice/185235053" TargetMode="External"/><Relationship Id="rId334" Type="http://schemas.openxmlformats.org/officeDocument/2006/relationships/hyperlink" Target="https://app.gettimely.com/customer/customers/82012442" TargetMode="External"/><Relationship Id="rId355" Type="http://schemas.openxmlformats.org/officeDocument/2006/relationships/hyperlink" Target="https://app.gettimely.com/billing/viewinvoice/185277933" TargetMode="External"/><Relationship Id="rId4" Type="http://schemas.openxmlformats.org/officeDocument/2006/relationships/hyperlink" Target="https://app.gettimely.com/customer/customers/91653696" TargetMode="External"/><Relationship Id="rId180" Type="http://schemas.openxmlformats.org/officeDocument/2006/relationships/hyperlink" Target="https://app.gettimely.com/customer/customers/85432945" TargetMode="External"/><Relationship Id="rId215" Type="http://schemas.openxmlformats.org/officeDocument/2006/relationships/hyperlink" Target="https://app.gettimely.com/billing/viewinvoice/185243055" TargetMode="External"/><Relationship Id="rId236" Type="http://schemas.openxmlformats.org/officeDocument/2006/relationships/hyperlink" Target="https://app.gettimely.com/customer/customers/84311689" TargetMode="External"/><Relationship Id="rId257" Type="http://schemas.openxmlformats.org/officeDocument/2006/relationships/hyperlink" Target="https://app.gettimely.com/billing/viewinvoice/185248065" TargetMode="External"/><Relationship Id="rId278" Type="http://schemas.openxmlformats.org/officeDocument/2006/relationships/hyperlink" Target="https://app.gettimely.com/customer/customers/74869440" TargetMode="External"/><Relationship Id="rId303" Type="http://schemas.openxmlformats.org/officeDocument/2006/relationships/hyperlink" Target="https://app.gettimely.com/billing/viewinvoice/185256504" TargetMode="External"/><Relationship Id="rId42" Type="http://schemas.openxmlformats.org/officeDocument/2006/relationships/hyperlink" Target="https://app.gettimely.com/customer/customers/62622434" TargetMode="External"/><Relationship Id="rId84" Type="http://schemas.openxmlformats.org/officeDocument/2006/relationships/hyperlink" Target="https://app.gettimely.com/customer/customers/90518032" TargetMode="External"/><Relationship Id="rId138" Type="http://schemas.openxmlformats.org/officeDocument/2006/relationships/hyperlink" Target="https://app.gettimely.com/customer/customers/62617883" TargetMode="External"/><Relationship Id="rId345" Type="http://schemas.openxmlformats.org/officeDocument/2006/relationships/hyperlink" Target="https://app.gettimely.com/billing/viewinvoice/185263030" TargetMode="External"/><Relationship Id="rId191" Type="http://schemas.openxmlformats.org/officeDocument/2006/relationships/hyperlink" Target="https://app.gettimely.com/billing/viewinvoice/185236968" TargetMode="External"/><Relationship Id="rId205" Type="http://schemas.openxmlformats.org/officeDocument/2006/relationships/hyperlink" Target="https://app.gettimely.com/billing/viewinvoice/185237844" TargetMode="External"/><Relationship Id="rId247" Type="http://schemas.openxmlformats.org/officeDocument/2006/relationships/hyperlink" Target="https://app.gettimely.com/billing/viewinvoice/185249146" TargetMode="External"/><Relationship Id="rId107" Type="http://schemas.openxmlformats.org/officeDocument/2006/relationships/hyperlink" Target="https://app.gettimely.com/billing/viewinvoice/185231684" TargetMode="External"/><Relationship Id="rId289" Type="http://schemas.openxmlformats.org/officeDocument/2006/relationships/hyperlink" Target="https://app.gettimely.com/billing/viewinvoice/185259815" TargetMode="External"/><Relationship Id="rId11" Type="http://schemas.openxmlformats.org/officeDocument/2006/relationships/hyperlink" Target="https://app.gettimely.com/billing/viewinvoice/185227022" TargetMode="External"/><Relationship Id="rId53" Type="http://schemas.openxmlformats.org/officeDocument/2006/relationships/hyperlink" Target="https://app.gettimely.com/billing/viewinvoice/185227397" TargetMode="External"/><Relationship Id="rId149" Type="http://schemas.openxmlformats.org/officeDocument/2006/relationships/hyperlink" Target="https://app.gettimely.com/billing/viewinvoice/185234794" TargetMode="External"/><Relationship Id="rId314" Type="http://schemas.openxmlformats.org/officeDocument/2006/relationships/hyperlink" Target="https://app.gettimely.com/customer/customers/74243671" TargetMode="External"/><Relationship Id="rId356" Type="http://schemas.openxmlformats.org/officeDocument/2006/relationships/hyperlink" Target="https://app.gettimely.com/customer/customers/62617578" TargetMode="External"/><Relationship Id="rId95" Type="http://schemas.openxmlformats.org/officeDocument/2006/relationships/hyperlink" Target="https://app.gettimely.com/billing/viewinvoice/185229655" TargetMode="External"/><Relationship Id="rId160" Type="http://schemas.openxmlformats.org/officeDocument/2006/relationships/hyperlink" Target="https://app.gettimely.com/customer/customers/79812316" TargetMode="External"/><Relationship Id="rId216" Type="http://schemas.openxmlformats.org/officeDocument/2006/relationships/hyperlink" Target="https://app.gettimely.com/customer/customers/86740531" TargetMode="External"/><Relationship Id="rId258" Type="http://schemas.openxmlformats.org/officeDocument/2006/relationships/hyperlink" Target="https://app.gettimely.com/customer/customers/66239959" TargetMode="External"/><Relationship Id="rId22" Type="http://schemas.openxmlformats.org/officeDocument/2006/relationships/hyperlink" Target="https://app.gettimely.com/customer/customers/88670465" TargetMode="External"/><Relationship Id="rId64" Type="http://schemas.openxmlformats.org/officeDocument/2006/relationships/hyperlink" Target="https://app.gettimely.com/customer/customers/91005220" TargetMode="External"/><Relationship Id="rId118" Type="http://schemas.openxmlformats.org/officeDocument/2006/relationships/hyperlink" Target="https://app.gettimely.com/customer/customers/62622307" TargetMode="External"/><Relationship Id="rId325" Type="http://schemas.openxmlformats.org/officeDocument/2006/relationships/hyperlink" Target="https://app.gettimely.com/billing/viewinvoice/185262239" TargetMode="External"/><Relationship Id="rId367" Type="http://schemas.openxmlformats.org/officeDocument/2006/relationships/hyperlink" Target="https://app.gettimely.com/billing/viewinvoice/185274243" TargetMode="External"/><Relationship Id="rId171" Type="http://schemas.openxmlformats.org/officeDocument/2006/relationships/hyperlink" Target="https://app.gettimely.com/billing/viewinvoice/185242183" TargetMode="External"/><Relationship Id="rId227" Type="http://schemas.openxmlformats.org/officeDocument/2006/relationships/hyperlink" Target="https://app.gettimely.com/billing/viewinvoice/185247744" TargetMode="External"/><Relationship Id="rId269" Type="http://schemas.openxmlformats.org/officeDocument/2006/relationships/hyperlink" Target="https://app.gettimely.com/billing/viewinvoice/185246426" TargetMode="External"/><Relationship Id="rId33" Type="http://schemas.openxmlformats.org/officeDocument/2006/relationships/hyperlink" Target="https://app.gettimely.com/billing/viewinvoice/185226725" TargetMode="External"/><Relationship Id="rId129" Type="http://schemas.openxmlformats.org/officeDocument/2006/relationships/hyperlink" Target="https://app.gettimely.com/billing/viewinvoice/185231958" TargetMode="External"/><Relationship Id="rId280" Type="http://schemas.openxmlformats.org/officeDocument/2006/relationships/hyperlink" Target="https://app.gettimely.com/customer/customers/62614324" TargetMode="External"/><Relationship Id="rId336" Type="http://schemas.openxmlformats.org/officeDocument/2006/relationships/hyperlink" Target="https://app.gettimely.com/customer/customers/67483350" TargetMode="External"/><Relationship Id="rId75" Type="http://schemas.openxmlformats.org/officeDocument/2006/relationships/hyperlink" Target="https://app.gettimely.com/billing/viewinvoice/185229517" TargetMode="External"/><Relationship Id="rId140" Type="http://schemas.openxmlformats.org/officeDocument/2006/relationships/hyperlink" Target="https://app.gettimely.com/customer/customers/62617883" TargetMode="External"/><Relationship Id="rId182" Type="http://schemas.openxmlformats.org/officeDocument/2006/relationships/hyperlink" Target="https://app.gettimely.com/customer/customers/85432945" TargetMode="External"/><Relationship Id="rId6" Type="http://schemas.openxmlformats.org/officeDocument/2006/relationships/hyperlink" Target="https://app.gettimely.com/customer/customers/72452428" TargetMode="External"/><Relationship Id="rId238" Type="http://schemas.openxmlformats.org/officeDocument/2006/relationships/hyperlink" Target="https://app.gettimely.com/customer/customers/84311689" TargetMode="External"/><Relationship Id="rId291" Type="http://schemas.openxmlformats.org/officeDocument/2006/relationships/hyperlink" Target="https://app.gettimely.com/billing/viewinvoice/185259815" TargetMode="External"/><Relationship Id="rId305" Type="http://schemas.openxmlformats.org/officeDocument/2006/relationships/hyperlink" Target="https://app.gettimely.com/billing/viewinvoice/185263974" TargetMode="External"/><Relationship Id="rId347" Type="http://schemas.openxmlformats.org/officeDocument/2006/relationships/hyperlink" Target="https://app.gettimely.com/billing/viewinvoice/185263638" TargetMode="External"/><Relationship Id="rId44" Type="http://schemas.openxmlformats.org/officeDocument/2006/relationships/hyperlink" Target="https://app.gettimely.com/customer/customers/62624209" TargetMode="External"/><Relationship Id="rId86" Type="http://schemas.openxmlformats.org/officeDocument/2006/relationships/hyperlink" Target="https://app.gettimely.com/customer/customers/78814322" TargetMode="External"/><Relationship Id="rId151" Type="http://schemas.openxmlformats.org/officeDocument/2006/relationships/hyperlink" Target="https://app.gettimely.com/billing/viewinvoice/185234794" TargetMode="External"/><Relationship Id="rId193" Type="http://schemas.openxmlformats.org/officeDocument/2006/relationships/hyperlink" Target="https://app.gettimely.com/billing/viewinvoice/185236968" TargetMode="External"/><Relationship Id="rId207" Type="http://schemas.openxmlformats.org/officeDocument/2006/relationships/hyperlink" Target="https://app.gettimely.com/billing/viewinvoice/185240977" TargetMode="External"/><Relationship Id="rId249" Type="http://schemas.openxmlformats.org/officeDocument/2006/relationships/hyperlink" Target="https://app.gettimely.com/billing/viewinvoice/185250991" TargetMode="External"/><Relationship Id="rId13" Type="http://schemas.openxmlformats.org/officeDocument/2006/relationships/hyperlink" Target="https://app.gettimely.com/billing/viewinvoice/185227022" TargetMode="External"/><Relationship Id="rId109" Type="http://schemas.openxmlformats.org/officeDocument/2006/relationships/hyperlink" Target="https://app.gettimely.com/billing/viewinvoice/185231684" TargetMode="External"/><Relationship Id="rId260" Type="http://schemas.openxmlformats.org/officeDocument/2006/relationships/hyperlink" Target="https://app.gettimely.com/customer/customers/66239959" TargetMode="External"/><Relationship Id="rId316" Type="http://schemas.openxmlformats.org/officeDocument/2006/relationships/hyperlink" Target="https://app.gettimely.com/customer/customers/82225203" TargetMode="External"/><Relationship Id="rId55" Type="http://schemas.openxmlformats.org/officeDocument/2006/relationships/hyperlink" Target="https://app.gettimely.com/billing/viewinvoice/185229159" TargetMode="External"/><Relationship Id="rId97" Type="http://schemas.openxmlformats.org/officeDocument/2006/relationships/hyperlink" Target="https://app.gettimely.com/billing/viewinvoice/185235835" TargetMode="External"/><Relationship Id="rId120" Type="http://schemas.openxmlformats.org/officeDocument/2006/relationships/hyperlink" Target="https://app.gettimely.com/customer/customers/62628215" TargetMode="External"/><Relationship Id="rId358" Type="http://schemas.openxmlformats.org/officeDocument/2006/relationships/hyperlink" Target="https://app.gettimely.com/customer/customers/91668234" TargetMode="External"/><Relationship Id="rId162" Type="http://schemas.openxmlformats.org/officeDocument/2006/relationships/hyperlink" Target="https://app.gettimely.com/customer/customers/62625505" TargetMode="External"/><Relationship Id="rId218" Type="http://schemas.openxmlformats.org/officeDocument/2006/relationships/hyperlink" Target="https://app.gettimely.com/customer/customers/88198528" TargetMode="External"/><Relationship Id="rId271" Type="http://schemas.openxmlformats.org/officeDocument/2006/relationships/hyperlink" Target="https://app.gettimely.com/billing/viewinvoice/185246426" TargetMode="External"/><Relationship Id="rId24" Type="http://schemas.openxmlformats.org/officeDocument/2006/relationships/hyperlink" Target="https://app.gettimely.com/customer/customers/88670465" TargetMode="External"/><Relationship Id="rId66" Type="http://schemas.openxmlformats.org/officeDocument/2006/relationships/hyperlink" Target="https://app.gettimely.com/customer/customers/62625329" TargetMode="External"/><Relationship Id="rId131" Type="http://schemas.openxmlformats.org/officeDocument/2006/relationships/hyperlink" Target="https://app.gettimely.com/billing/viewinvoice/185231958" TargetMode="External"/><Relationship Id="rId327" Type="http://schemas.openxmlformats.org/officeDocument/2006/relationships/hyperlink" Target="https://app.gettimely.com/billing/viewinvoice/185266148" TargetMode="External"/><Relationship Id="rId369" Type="http://schemas.openxmlformats.org/officeDocument/2006/relationships/hyperlink" Target="https://app.gettimely.com/billing/viewinvoice/185274243" TargetMode="External"/><Relationship Id="rId173" Type="http://schemas.openxmlformats.org/officeDocument/2006/relationships/hyperlink" Target="https://app.gettimely.com/billing/viewinvoice/185235053" TargetMode="External"/><Relationship Id="rId229" Type="http://schemas.openxmlformats.org/officeDocument/2006/relationships/hyperlink" Target="https://app.gettimely.com/billing/viewinvoice/185250220" TargetMode="External"/><Relationship Id="rId240" Type="http://schemas.openxmlformats.org/officeDocument/2006/relationships/hyperlink" Target="https://app.gettimely.com/customer/customers/84311689" TargetMode="External"/><Relationship Id="rId35" Type="http://schemas.openxmlformats.org/officeDocument/2006/relationships/hyperlink" Target="https://app.gettimely.com/billing/viewinvoice/185226725" TargetMode="External"/><Relationship Id="rId77" Type="http://schemas.openxmlformats.org/officeDocument/2006/relationships/hyperlink" Target="https://app.gettimely.com/billing/viewinvoice/185230402" TargetMode="External"/><Relationship Id="rId100" Type="http://schemas.openxmlformats.org/officeDocument/2006/relationships/hyperlink" Target="https://app.gettimely.com/customer/customers/62620152" TargetMode="External"/><Relationship Id="rId282" Type="http://schemas.openxmlformats.org/officeDocument/2006/relationships/hyperlink" Target="https://app.gettimely.com/customer/customers/90618347" TargetMode="External"/><Relationship Id="rId338" Type="http://schemas.openxmlformats.org/officeDocument/2006/relationships/hyperlink" Target="https://app.gettimely.com/customer/customers/67483350" TargetMode="External"/><Relationship Id="rId8" Type="http://schemas.openxmlformats.org/officeDocument/2006/relationships/hyperlink" Target="https://app.gettimely.com/customer/customers/81010749" TargetMode="External"/><Relationship Id="rId142" Type="http://schemas.openxmlformats.org/officeDocument/2006/relationships/hyperlink" Target="https://app.gettimely.com/customer/customers/62617883" TargetMode="External"/><Relationship Id="rId184" Type="http://schemas.openxmlformats.org/officeDocument/2006/relationships/hyperlink" Target="https://app.gettimely.com/customer/customers/72800210" TargetMode="External"/><Relationship Id="rId251" Type="http://schemas.openxmlformats.org/officeDocument/2006/relationships/hyperlink" Target="https://app.gettimely.com/billing/viewinvoice/185249773" TargetMode="External"/><Relationship Id="rId46" Type="http://schemas.openxmlformats.org/officeDocument/2006/relationships/hyperlink" Target="https://app.gettimely.com/customer/customers/62624209" TargetMode="External"/><Relationship Id="rId293" Type="http://schemas.openxmlformats.org/officeDocument/2006/relationships/hyperlink" Target="https://app.gettimely.com/billing/viewinvoice/185252881" TargetMode="External"/><Relationship Id="rId307" Type="http://schemas.openxmlformats.org/officeDocument/2006/relationships/hyperlink" Target="https://app.gettimely.com/billing/viewinvoice/185258584" TargetMode="External"/><Relationship Id="rId349" Type="http://schemas.openxmlformats.org/officeDocument/2006/relationships/hyperlink" Target="https://app.gettimely.com/billing/viewinvoice/185262136" TargetMode="External"/><Relationship Id="rId88" Type="http://schemas.openxmlformats.org/officeDocument/2006/relationships/hyperlink" Target="https://app.gettimely.com/customer/customers/78814322" TargetMode="External"/><Relationship Id="rId111" Type="http://schemas.openxmlformats.org/officeDocument/2006/relationships/hyperlink" Target="https://app.gettimely.com/billing/viewinvoice/185231684" TargetMode="External"/><Relationship Id="rId153" Type="http://schemas.openxmlformats.org/officeDocument/2006/relationships/hyperlink" Target="https://app.gettimely.com/billing/viewinvoice/185233770" TargetMode="External"/><Relationship Id="rId195" Type="http://schemas.openxmlformats.org/officeDocument/2006/relationships/hyperlink" Target="https://app.gettimely.com/billing/viewinvoice/185239344" TargetMode="External"/><Relationship Id="rId209" Type="http://schemas.openxmlformats.org/officeDocument/2006/relationships/hyperlink" Target="https://app.gettimely.com/billing/viewinvoice/185240977" TargetMode="External"/><Relationship Id="rId360" Type="http://schemas.openxmlformats.org/officeDocument/2006/relationships/hyperlink" Target="https://app.gettimely.com/customer/customers/91775141" TargetMode="External"/><Relationship Id="rId220" Type="http://schemas.openxmlformats.org/officeDocument/2006/relationships/hyperlink" Target="https://app.gettimely.com/customer/customers/88198528" TargetMode="External"/><Relationship Id="rId15" Type="http://schemas.openxmlformats.org/officeDocument/2006/relationships/hyperlink" Target="https://app.gettimely.com/billing/viewinvoice/185226932" TargetMode="External"/><Relationship Id="rId57" Type="http://schemas.openxmlformats.org/officeDocument/2006/relationships/hyperlink" Target="https://app.gettimely.com/billing/viewinvoice/185229159" TargetMode="External"/><Relationship Id="rId262" Type="http://schemas.openxmlformats.org/officeDocument/2006/relationships/hyperlink" Target="https://app.gettimely.com/customer/customers/66239959" TargetMode="External"/><Relationship Id="rId318" Type="http://schemas.openxmlformats.org/officeDocument/2006/relationships/hyperlink" Target="https://app.gettimely.com/customer/customers/829654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"/>
  <sheetViews>
    <sheetView showGridLines="0" tabSelected="1" workbookViewId="0">
      <pane ySplit="5" topLeftCell="A6" activePane="bottomLeft" state="frozen"/>
      <selection pane="bottomLeft" activeCell="J4" sqref="J1:J1048576"/>
    </sheetView>
  </sheetViews>
  <sheetFormatPr baseColWidth="10" defaultRowHeight="15" x14ac:dyDescent="0.2"/>
  <cols>
    <col min="1" max="1" width="9.5" customWidth="1"/>
    <col min="2" max="2" width="11.5" customWidth="1"/>
    <col min="3" max="3" width="13" customWidth="1"/>
    <col min="4" max="4" width="15.83203125" customWidth="1"/>
    <col min="5" max="5" width="13.5" customWidth="1"/>
    <col min="6" max="6" width="12" customWidth="1"/>
    <col min="7" max="7" width="21.33203125" customWidth="1"/>
    <col min="8" max="9" width="21.33203125" style="16" customWidth="1"/>
    <col min="10" max="11" width="10.33203125" customWidth="1"/>
    <col min="12" max="12" width="8.5" customWidth="1"/>
    <col min="13" max="13" width="10.1640625" customWidth="1"/>
    <col min="14" max="14" width="0" hidden="1" customWidth="1"/>
    <col min="15" max="15" width="13.5" customWidth="1"/>
  </cols>
  <sheetData>
    <row r="1" spans="1:15" ht="26.75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7" customHeight="1" x14ac:dyDescent="0.2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7" customHeight="1" x14ac:dyDescent="0.2">
      <c r="A3" s="15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5.5" customHeight="1" thickBot="1" x14ac:dyDescent="0.25"/>
    <row r="5" spans="1:15" ht="14.25" customHeight="1" thickTop="1" x14ac:dyDescent="0.2">
      <c r="A5" s="1"/>
      <c r="B5" s="1"/>
      <c r="C5" s="1"/>
      <c r="D5" s="1"/>
      <c r="E5" s="1"/>
      <c r="F5" s="1"/>
      <c r="G5" s="1"/>
      <c r="H5" s="17"/>
      <c r="I5" s="17"/>
      <c r="J5" s="1"/>
      <c r="K5" s="1"/>
      <c r="L5" s="1"/>
      <c r="M5" s="1"/>
      <c r="N5" s="1"/>
      <c r="O5" s="1"/>
    </row>
    <row r="6" spans="1:15" ht="5" customHeight="1" x14ac:dyDescent="0.2"/>
    <row r="7" spans="1:15" x14ac:dyDescent="0.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18"/>
      <c r="I7" s="18"/>
      <c r="J7" s="3" t="s">
        <v>10</v>
      </c>
      <c r="K7" s="3" t="s">
        <v>11</v>
      </c>
      <c r="L7" s="3" t="s">
        <v>12</v>
      </c>
      <c r="M7" s="3" t="s">
        <v>13</v>
      </c>
    </row>
    <row r="8" spans="1:15" ht="39" x14ac:dyDescent="0.2">
      <c r="A8" s="4">
        <v>53049</v>
      </c>
      <c r="B8" s="5">
        <v>45981</v>
      </c>
      <c r="C8" s="4" t="s">
        <v>14</v>
      </c>
      <c r="D8" s="6" t="s">
        <v>15</v>
      </c>
      <c r="E8" s="6" t="s">
        <v>16</v>
      </c>
      <c r="F8" s="6" t="s">
        <v>17</v>
      </c>
      <c r="G8" s="7" t="s">
        <v>18</v>
      </c>
      <c r="H8" s="19" t="str">
        <f>IFERROR(VALUE(MID(G8,FIND(":",G8)-2,10)),"")</f>
        <v/>
      </c>
      <c r="I8" s="19" t="str">
        <f>IFERROR(TIMEVALUE(MID(G8,FIND(" to ",G8)+4,10)),"")</f>
        <v/>
      </c>
      <c r="J8" s="8">
        <v>590</v>
      </c>
      <c r="K8" s="8">
        <v>1</v>
      </c>
      <c r="L8" s="8">
        <v>0</v>
      </c>
      <c r="M8" s="8">
        <v>590</v>
      </c>
    </row>
    <row r="9" spans="1:15" ht="26" x14ac:dyDescent="0.2">
      <c r="A9" s="4">
        <v>53097</v>
      </c>
      <c r="B9" s="5">
        <v>45981</v>
      </c>
      <c r="C9" s="4" t="s">
        <v>19</v>
      </c>
      <c r="D9" s="6" t="s">
        <v>15</v>
      </c>
      <c r="E9" s="6" t="s">
        <v>20</v>
      </c>
      <c r="F9" s="6" t="s">
        <v>17</v>
      </c>
      <c r="G9" s="7" t="s">
        <v>18</v>
      </c>
      <c r="H9" s="19" t="str">
        <f t="shared" ref="H9:H72" si="0">IFERROR(VALUE(MID(G9,FIND(":",G9)-2,10)),"")</f>
        <v/>
      </c>
      <c r="I9" s="19" t="str">
        <f t="shared" ref="I9:I72" si="1">IFERROR(TIMEVALUE(MID(G9,FIND(" to ",G9)+4,10)),"")</f>
        <v/>
      </c>
      <c r="J9" s="8">
        <v>590</v>
      </c>
      <c r="K9" s="8">
        <v>1</v>
      </c>
      <c r="L9" s="8">
        <v>0</v>
      </c>
      <c r="M9" s="8">
        <v>590</v>
      </c>
    </row>
    <row r="10" spans="1:15" ht="26" x14ac:dyDescent="0.2">
      <c r="A10" s="4">
        <v>53004</v>
      </c>
      <c r="B10" s="5">
        <v>45981.036471330997</v>
      </c>
      <c r="C10" s="4" t="s">
        <v>21</v>
      </c>
      <c r="D10" s="6" t="s">
        <v>15</v>
      </c>
      <c r="E10" s="6" t="s">
        <v>22</v>
      </c>
      <c r="F10" s="6" t="s">
        <v>23</v>
      </c>
      <c r="G10" s="7" t="s">
        <v>24</v>
      </c>
      <c r="H10" s="19" t="str">
        <f t="shared" si="0"/>
        <v/>
      </c>
      <c r="I10" s="19" t="str">
        <f t="shared" si="1"/>
        <v/>
      </c>
      <c r="J10" s="8">
        <v>1487.5</v>
      </c>
      <c r="K10" s="8">
        <v>1</v>
      </c>
      <c r="L10" s="8">
        <v>0</v>
      </c>
      <c r="M10" s="8">
        <v>1487.5</v>
      </c>
    </row>
    <row r="11" spans="1:15" ht="48" x14ac:dyDescent="0.2">
      <c r="A11" s="4">
        <v>53007</v>
      </c>
      <c r="B11" s="5">
        <v>45981.375</v>
      </c>
      <c r="C11" s="4" t="s">
        <v>25</v>
      </c>
      <c r="D11" s="6" t="s">
        <v>26</v>
      </c>
      <c r="E11" s="6" t="s">
        <v>27</v>
      </c>
      <c r="F11" s="6" t="s">
        <v>28</v>
      </c>
      <c r="G11" s="7" t="s">
        <v>139</v>
      </c>
      <c r="H11" s="19">
        <f t="shared" si="0"/>
        <v>0.375</v>
      </c>
      <c r="I11" s="19">
        <f t="shared" si="1"/>
        <v>0.41666666666666669</v>
      </c>
      <c r="J11" s="8">
        <v>1700</v>
      </c>
      <c r="K11" s="8">
        <v>1</v>
      </c>
      <c r="L11" s="8">
        <v>0</v>
      </c>
      <c r="M11" s="8">
        <v>1700</v>
      </c>
    </row>
    <row r="12" spans="1:15" ht="26" x14ac:dyDescent="0.2">
      <c r="A12" s="4">
        <v>53007</v>
      </c>
      <c r="B12" s="5">
        <v>45981.375</v>
      </c>
      <c r="C12" s="4" t="s">
        <v>25</v>
      </c>
      <c r="D12" s="6" t="s">
        <v>26</v>
      </c>
      <c r="E12" s="6" t="s">
        <v>27</v>
      </c>
      <c r="F12" s="6" t="s">
        <v>29</v>
      </c>
      <c r="G12" s="7" t="s">
        <v>30</v>
      </c>
      <c r="H12" s="19" t="str">
        <f t="shared" si="0"/>
        <v/>
      </c>
      <c r="I12" s="19" t="str">
        <f t="shared" si="1"/>
        <v/>
      </c>
      <c r="J12" s="8">
        <v>-255</v>
      </c>
      <c r="K12" s="8">
        <v>1</v>
      </c>
      <c r="L12" s="8">
        <v>0</v>
      </c>
      <c r="M12" s="8">
        <v>-255</v>
      </c>
    </row>
    <row r="13" spans="1:15" ht="48" x14ac:dyDescent="0.2">
      <c r="A13" s="4">
        <v>53010</v>
      </c>
      <c r="B13" s="5">
        <v>45981.395833333299</v>
      </c>
      <c r="C13" s="4" t="s">
        <v>31</v>
      </c>
      <c r="D13" s="6" t="s">
        <v>26</v>
      </c>
      <c r="E13" s="6" t="s">
        <v>32</v>
      </c>
      <c r="F13" s="6" t="s">
        <v>28</v>
      </c>
      <c r="G13" s="7" t="s">
        <v>140</v>
      </c>
      <c r="H13" s="19">
        <f t="shared" si="0"/>
        <v>0.39583333333333331</v>
      </c>
      <c r="I13" s="19">
        <f t="shared" si="1"/>
        <v>0.4375</v>
      </c>
      <c r="J13" s="8">
        <v>650</v>
      </c>
      <c r="K13" s="8">
        <v>1</v>
      </c>
      <c r="L13" s="8">
        <v>0</v>
      </c>
      <c r="M13" s="8">
        <v>650</v>
      </c>
    </row>
    <row r="14" spans="1:15" ht="26" x14ac:dyDescent="0.2">
      <c r="A14" s="4">
        <v>53010</v>
      </c>
      <c r="B14" s="5">
        <v>45981.395833333299</v>
      </c>
      <c r="C14" s="4" t="s">
        <v>31</v>
      </c>
      <c r="D14" s="6" t="s">
        <v>26</v>
      </c>
      <c r="E14" s="6" t="s">
        <v>32</v>
      </c>
      <c r="F14" s="6" t="s">
        <v>33</v>
      </c>
      <c r="G14" s="7" t="s">
        <v>34</v>
      </c>
      <c r="H14" s="19" t="str">
        <f t="shared" si="0"/>
        <v/>
      </c>
      <c r="I14" s="19" t="str">
        <f t="shared" si="1"/>
        <v/>
      </c>
      <c r="J14" s="8">
        <v>550</v>
      </c>
      <c r="K14" s="8">
        <v>1</v>
      </c>
      <c r="L14" s="8">
        <v>0</v>
      </c>
      <c r="M14" s="8">
        <v>550</v>
      </c>
    </row>
    <row r="15" spans="1:15" ht="48" x14ac:dyDescent="0.2">
      <c r="A15" s="4">
        <v>53009</v>
      </c>
      <c r="B15" s="5">
        <v>45981.395833333299</v>
      </c>
      <c r="C15" s="4" t="s">
        <v>35</v>
      </c>
      <c r="D15" s="6" t="s">
        <v>15</v>
      </c>
      <c r="E15" s="6" t="s">
        <v>36</v>
      </c>
      <c r="F15" s="6" t="s">
        <v>28</v>
      </c>
      <c r="G15" s="7" t="s">
        <v>141</v>
      </c>
      <c r="H15" s="19">
        <f t="shared" si="0"/>
        <v>0.39583333333333331</v>
      </c>
      <c r="I15" s="19">
        <f t="shared" si="1"/>
        <v>0.4375</v>
      </c>
      <c r="J15" s="8">
        <v>1700</v>
      </c>
      <c r="K15" s="8">
        <v>1</v>
      </c>
      <c r="L15" s="8">
        <v>0</v>
      </c>
      <c r="M15" s="8">
        <v>1700</v>
      </c>
    </row>
    <row r="16" spans="1:15" ht="39" x14ac:dyDescent="0.2">
      <c r="A16" s="4">
        <v>53009</v>
      </c>
      <c r="B16" s="5">
        <v>45981.395833333299</v>
      </c>
      <c r="C16" s="4" t="s">
        <v>35</v>
      </c>
      <c r="D16" s="6" t="s">
        <v>15</v>
      </c>
      <c r="E16" s="6" t="s">
        <v>36</v>
      </c>
      <c r="F16" s="6" t="s">
        <v>29</v>
      </c>
      <c r="G16" s="7" t="s">
        <v>30</v>
      </c>
      <c r="H16" s="19" t="str">
        <f t="shared" si="0"/>
        <v/>
      </c>
      <c r="I16" s="19" t="str">
        <f t="shared" si="1"/>
        <v/>
      </c>
      <c r="J16" s="8">
        <v>-255</v>
      </c>
      <c r="K16" s="8">
        <v>1</v>
      </c>
      <c r="L16" s="8">
        <v>0</v>
      </c>
      <c r="M16" s="8">
        <v>-255</v>
      </c>
    </row>
    <row r="17" spans="1:13" ht="39" x14ac:dyDescent="0.2">
      <c r="A17" s="4">
        <v>53009</v>
      </c>
      <c r="B17" s="5">
        <v>45981.395833333299</v>
      </c>
      <c r="C17" s="4" t="s">
        <v>35</v>
      </c>
      <c r="D17" s="6" t="s">
        <v>15</v>
      </c>
      <c r="E17" s="6" t="s">
        <v>36</v>
      </c>
      <c r="F17" s="6" t="s">
        <v>33</v>
      </c>
      <c r="G17" s="7" t="s">
        <v>37</v>
      </c>
      <c r="H17" s="19" t="str">
        <f t="shared" si="0"/>
        <v/>
      </c>
      <c r="I17" s="19" t="str">
        <f t="shared" si="1"/>
        <v/>
      </c>
      <c r="J17" s="8">
        <v>450</v>
      </c>
      <c r="K17" s="8">
        <v>1</v>
      </c>
      <c r="L17" s="8">
        <v>0</v>
      </c>
      <c r="M17" s="8">
        <v>450</v>
      </c>
    </row>
    <row r="18" spans="1:13" ht="39" x14ac:dyDescent="0.2">
      <c r="A18" s="4">
        <v>53009</v>
      </c>
      <c r="B18" s="5">
        <v>45981.395833333299</v>
      </c>
      <c r="C18" s="4" t="s">
        <v>35</v>
      </c>
      <c r="D18" s="6" t="s">
        <v>15</v>
      </c>
      <c r="E18" s="6" t="s">
        <v>36</v>
      </c>
      <c r="F18" s="6" t="s">
        <v>29</v>
      </c>
      <c r="G18" s="7" t="s">
        <v>30</v>
      </c>
      <c r="H18" s="19" t="str">
        <f t="shared" si="0"/>
        <v/>
      </c>
      <c r="I18" s="19" t="str">
        <f t="shared" si="1"/>
        <v/>
      </c>
      <c r="J18" s="8">
        <v>-67.5</v>
      </c>
      <c r="K18" s="8">
        <v>1</v>
      </c>
      <c r="L18" s="8">
        <v>0</v>
      </c>
      <c r="M18" s="8">
        <v>-67.5</v>
      </c>
    </row>
    <row r="19" spans="1:13" ht="39" x14ac:dyDescent="0.2">
      <c r="A19" s="4">
        <v>53009</v>
      </c>
      <c r="B19" s="5">
        <v>45981.395833333299</v>
      </c>
      <c r="C19" s="4" t="s">
        <v>35</v>
      </c>
      <c r="D19" s="6" t="s">
        <v>15</v>
      </c>
      <c r="E19" s="6" t="s">
        <v>36</v>
      </c>
      <c r="F19" s="6" t="s">
        <v>33</v>
      </c>
      <c r="G19" s="7" t="s">
        <v>34</v>
      </c>
      <c r="H19" s="19" t="str">
        <f t="shared" si="0"/>
        <v/>
      </c>
      <c r="I19" s="19" t="str">
        <f t="shared" si="1"/>
        <v/>
      </c>
      <c r="J19" s="8">
        <v>550</v>
      </c>
      <c r="K19" s="8">
        <v>1</v>
      </c>
      <c r="L19" s="8">
        <v>0</v>
      </c>
      <c r="M19" s="8">
        <v>550</v>
      </c>
    </row>
    <row r="20" spans="1:13" ht="39" x14ac:dyDescent="0.2">
      <c r="A20" s="4">
        <v>53009</v>
      </c>
      <c r="B20" s="5">
        <v>45981.395833333299</v>
      </c>
      <c r="C20" s="4" t="s">
        <v>35</v>
      </c>
      <c r="D20" s="6" t="s">
        <v>15</v>
      </c>
      <c r="E20" s="6" t="s">
        <v>36</v>
      </c>
      <c r="F20" s="6" t="s">
        <v>29</v>
      </c>
      <c r="G20" s="7" t="s">
        <v>30</v>
      </c>
      <c r="H20" s="19" t="str">
        <f t="shared" si="0"/>
        <v/>
      </c>
      <c r="I20" s="19" t="str">
        <f t="shared" si="1"/>
        <v/>
      </c>
      <c r="J20" s="8">
        <v>-82.5</v>
      </c>
      <c r="K20" s="8">
        <v>1</v>
      </c>
      <c r="L20" s="8">
        <v>0</v>
      </c>
      <c r="M20" s="8">
        <v>-82.5</v>
      </c>
    </row>
    <row r="21" spans="1:13" ht="48" x14ac:dyDescent="0.2">
      <c r="A21" s="4">
        <v>53013</v>
      </c>
      <c r="B21" s="5">
        <v>45981.395833333299</v>
      </c>
      <c r="C21" s="4" t="s">
        <v>38</v>
      </c>
      <c r="D21" s="6" t="s">
        <v>26</v>
      </c>
      <c r="E21" s="6" t="s">
        <v>39</v>
      </c>
      <c r="F21" s="6" t="s">
        <v>28</v>
      </c>
      <c r="G21" s="7" t="s">
        <v>142</v>
      </c>
      <c r="H21" s="19">
        <f t="shared" si="0"/>
        <v>0.39583333333333331</v>
      </c>
      <c r="I21" s="19">
        <f t="shared" si="1"/>
        <v>0.4375</v>
      </c>
      <c r="J21" s="8">
        <v>2600</v>
      </c>
      <c r="K21" s="8">
        <v>1</v>
      </c>
      <c r="L21" s="8">
        <v>0</v>
      </c>
      <c r="M21" s="8">
        <v>2600</v>
      </c>
    </row>
    <row r="22" spans="1:13" ht="48" x14ac:dyDescent="0.2">
      <c r="A22" s="4">
        <v>53011</v>
      </c>
      <c r="B22" s="5">
        <v>45981.395833333299</v>
      </c>
      <c r="C22" s="4" t="s">
        <v>40</v>
      </c>
      <c r="D22" s="6" t="s">
        <v>15</v>
      </c>
      <c r="E22" s="6" t="s">
        <v>41</v>
      </c>
      <c r="F22" s="6" t="s">
        <v>28</v>
      </c>
      <c r="G22" s="7" t="s">
        <v>143</v>
      </c>
      <c r="H22" s="19">
        <f t="shared" si="0"/>
        <v>0.39583333333333331</v>
      </c>
      <c r="I22" s="19">
        <f t="shared" si="1"/>
        <v>0.4375</v>
      </c>
      <c r="J22" s="8">
        <v>2600</v>
      </c>
      <c r="K22" s="8">
        <v>1</v>
      </c>
      <c r="L22" s="8">
        <v>0</v>
      </c>
      <c r="M22" s="8">
        <v>2600</v>
      </c>
    </row>
    <row r="23" spans="1:13" ht="26" x14ac:dyDescent="0.2">
      <c r="A23" s="4">
        <v>53011</v>
      </c>
      <c r="B23" s="5">
        <v>45981.395833333299</v>
      </c>
      <c r="C23" s="4" t="s">
        <v>40</v>
      </c>
      <c r="D23" s="6" t="s">
        <v>15</v>
      </c>
      <c r="E23" s="6" t="s">
        <v>41</v>
      </c>
      <c r="F23" s="6" t="s">
        <v>29</v>
      </c>
      <c r="G23" s="7" t="s">
        <v>30</v>
      </c>
      <c r="H23" s="19" t="str">
        <f t="shared" si="0"/>
        <v/>
      </c>
      <c r="I23" s="19" t="str">
        <f t="shared" si="1"/>
        <v/>
      </c>
      <c r="J23" s="8">
        <v>-520</v>
      </c>
      <c r="K23" s="8">
        <v>1</v>
      </c>
      <c r="L23" s="8">
        <v>0</v>
      </c>
      <c r="M23" s="8">
        <v>-520</v>
      </c>
    </row>
    <row r="24" spans="1:13" ht="48" x14ac:dyDescent="0.2">
      <c r="A24" s="4">
        <v>53008</v>
      </c>
      <c r="B24" s="5">
        <v>45981.416666666701</v>
      </c>
      <c r="C24" s="4" t="s">
        <v>42</v>
      </c>
      <c r="D24" s="6" t="s">
        <v>15</v>
      </c>
      <c r="E24" s="6" t="s">
        <v>43</v>
      </c>
      <c r="F24" s="6" t="s">
        <v>28</v>
      </c>
      <c r="G24" s="7" t="s">
        <v>144</v>
      </c>
      <c r="H24" s="19">
        <f t="shared" si="0"/>
        <v>0.41666666666666669</v>
      </c>
      <c r="I24" s="19">
        <f t="shared" si="1"/>
        <v>0.4375</v>
      </c>
      <c r="J24" s="8">
        <v>450</v>
      </c>
      <c r="K24" s="8">
        <v>1</v>
      </c>
      <c r="L24" s="8">
        <v>0</v>
      </c>
      <c r="M24" s="8">
        <v>450</v>
      </c>
    </row>
    <row r="25" spans="1:13" ht="26" x14ac:dyDescent="0.2">
      <c r="A25" s="4">
        <v>53008</v>
      </c>
      <c r="B25" s="5">
        <v>45981.416666666701</v>
      </c>
      <c r="C25" s="4" t="s">
        <v>42</v>
      </c>
      <c r="D25" s="6" t="s">
        <v>15</v>
      </c>
      <c r="E25" s="6" t="s">
        <v>43</v>
      </c>
      <c r="F25" s="6" t="s">
        <v>29</v>
      </c>
      <c r="G25" s="7" t="s">
        <v>30</v>
      </c>
      <c r="H25" s="19" t="str">
        <f t="shared" si="0"/>
        <v/>
      </c>
      <c r="I25" s="19" t="str">
        <f t="shared" si="1"/>
        <v/>
      </c>
      <c r="J25" s="8">
        <v>-67.5</v>
      </c>
      <c r="K25" s="8">
        <v>1</v>
      </c>
      <c r="L25" s="8">
        <v>0</v>
      </c>
      <c r="M25" s="8">
        <v>-67.5</v>
      </c>
    </row>
    <row r="26" spans="1:13" ht="48" x14ac:dyDescent="0.2">
      <c r="A26" s="4">
        <v>53019</v>
      </c>
      <c r="B26" s="5">
        <v>45981.416666666701</v>
      </c>
      <c r="C26" s="4" t="s">
        <v>44</v>
      </c>
      <c r="D26" s="6" t="s">
        <v>26</v>
      </c>
      <c r="E26" s="6" t="s">
        <v>27</v>
      </c>
      <c r="F26" s="6" t="s">
        <v>28</v>
      </c>
      <c r="G26" s="7" t="s">
        <v>145</v>
      </c>
      <c r="H26" s="19">
        <f t="shared" si="0"/>
        <v>0.41666666666666669</v>
      </c>
      <c r="I26" s="19">
        <f t="shared" si="1"/>
        <v>0.45833333333333331</v>
      </c>
      <c r="J26" s="8">
        <v>850</v>
      </c>
      <c r="K26" s="8">
        <v>1</v>
      </c>
      <c r="L26" s="8">
        <v>0</v>
      </c>
      <c r="M26" s="8">
        <v>850</v>
      </c>
    </row>
    <row r="27" spans="1:13" ht="48" x14ac:dyDescent="0.2">
      <c r="A27" s="4">
        <v>53015</v>
      </c>
      <c r="B27" s="5">
        <v>45981.416666666701</v>
      </c>
      <c r="C27" s="4" t="s">
        <v>45</v>
      </c>
      <c r="D27" s="6" t="s">
        <v>26</v>
      </c>
      <c r="E27" s="6" t="s">
        <v>46</v>
      </c>
      <c r="F27" s="6" t="s">
        <v>28</v>
      </c>
      <c r="G27" s="7" t="s">
        <v>146</v>
      </c>
      <c r="H27" s="19">
        <f t="shared" si="0"/>
        <v>0.41666666666666669</v>
      </c>
      <c r="I27" s="19">
        <f t="shared" si="1"/>
        <v>0.4375</v>
      </c>
      <c r="J27" s="8">
        <v>550</v>
      </c>
      <c r="K27" s="8">
        <v>1</v>
      </c>
      <c r="L27" s="8">
        <v>0</v>
      </c>
      <c r="M27" s="8">
        <v>550</v>
      </c>
    </row>
    <row r="28" spans="1:13" ht="26" x14ac:dyDescent="0.2">
      <c r="A28" s="4">
        <v>53015</v>
      </c>
      <c r="B28" s="5">
        <v>45981.416666666701</v>
      </c>
      <c r="C28" s="4" t="s">
        <v>45</v>
      </c>
      <c r="D28" s="6" t="s">
        <v>26</v>
      </c>
      <c r="E28" s="6" t="s">
        <v>46</v>
      </c>
      <c r="F28" s="6" t="s">
        <v>33</v>
      </c>
      <c r="G28" s="7" t="s">
        <v>47</v>
      </c>
      <c r="H28" s="19" t="str">
        <f t="shared" si="0"/>
        <v/>
      </c>
      <c r="I28" s="19" t="str">
        <f t="shared" si="1"/>
        <v/>
      </c>
      <c r="J28" s="8">
        <v>500</v>
      </c>
      <c r="K28" s="8">
        <v>1</v>
      </c>
      <c r="L28" s="8">
        <v>0</v>
      </c>
      <c r="M28" s="8">
        <v>500</v>
      </c>
    </row>
    <row r="29" spans="1:13" ht="48" x14ac:dyDescent="0.2">
      <c r="A29" s="4">
        <v>53017</v>
      </c>
      <c r="B29" s="5">
        <v>45981.416666666701</v>
      </c>
      <c r="C29" s="4" t="s">
        <v>48</v>
      </c>
      <c r="D29" s="6" t="s">
        <v>49</v>
      </c>
      <c r="E29" s="6" t="s">
        <v>50</v>
      </c>
      <c r="F29" s="6" t="s">
        <v>28</v>
      </c>
      <c r="G29" s="7" t="s">
        <v>147</v>
      </c>
      <c r="H29" s="19">
        <f t="shared" si="0"/>
        <v>0.41666666666666669</v>
      </c>
      <c r="I29" s="19">
        <f t="shared" si="1"/>
        <v>0.45833333333333331</v>
      </c>
      <c r="J29" s="8">
        <v>850</v>
      </c>
      <c r="K29" s="8">
        <v>1</v>
      </c>
      <c r="L29" s="8">
        <v>0</v>
      </c>
      <c r="M29" s="8">
        <v>850</v>
      </c>
    </row>
    <row r="30" spans="1:13" ht="26" x14ac:dyDescent="0.2">
      <c r="A30" s="4">
        <v>53017</v>
      </c>
      <c r="B30" s="5">
        <v>45981.416666666701</v>
      </c>
      <c r="C30" s="4" t="s">
        <v>48</v>
      </c>
      <c r="D30" s="6" t="s">
        <v>49</v>
      </c>
      <c r="E30" s="6" t="s">
        <v>50</v>
      </c>
      <c r="F30" s="6" t="s">
        <v>33</v>
      </c>
      <c r="G30" s="7" t="s">
        <v>37</v>
      </c>
      <c r="H30" s="19" t="str">
        <f t="shared" si="0"/>
        <v/>
      </c>
      <c r="I30" s="19" t="str">
        <f t="shared" si="1"/>
        <v/>
      </c>
      <c r="J30" s="8">
        <v>450</v>
      </c>
      <c r="K30" s="8">
        <v>1</v>
      </c>
      <c r="L30" s="8">
        <v>0</v>
      </c>
      <c r="M30" s="8">
        <v>450</v>
      </c>
    </row>
    <row r="31" spans="1:13" ht="26" x14ac:dyDescent="0.2">
      <c r="A31" s="4">
        <v>53017</v>
      </c>
      <c r="B31" s="5">
        <v>45981.416666666701</v>
      </c>
      <c r="C31" s="4" t="s">
        <v>48</v>
      </c>
      <c r="D31" s="6" t="s">
        <v>49</v>
      </c>
      <c r="E31" s="6" t="s">
        <v>50</v>
      </c>
      <c r="F31" s="6" t="s">
        <v>33</v>
      </c>
      <c r="G31" s="7" t="s">
        <v>51</v>
      </c>
      <c r="H31" s="19" t="str">
        <f t="shared" si="0"/>
        <v/>
      </c>
      <c r="I31" s="19" t="str">
        <f t="shared" si="1"/>
        <v/>
      </c>
      <c r="J31" s="8">
        <v>350</v>
      </c>
      <c r="K31" s="8">
        <v>1</v>
      </c>
      <c r="L31" s="8">
        <v>0</v>
      </c>
      <c r="M31" s="8">
        <v>350</v>
      </c>
    </row>
    <row r="32" spans="1:13" ht="26" x14ac:dyDescent="0.2">
      <c r="A32" s="4">
        <v>53019</v>
      </c>
      <c r="B32" s="5">
        <v>45981.416666666701</v>
      </c>
      <c r="C32" s="4" t="s">
        <v>44</v>
      </c>
      <c r="D32" s="6" t="s">
        <v>26</v>
      </c>
      <c r="E32" s="6" t="s">
        <v>27</v>
      </c>
      <c r="F32" s="6" t="s">
        <v>33</v>
      </c>
      <c r="G32" s="7" t="s">
        <v>34</v>
      </c>
      <c r="H32" s="19" t="str">
        <f t="shared" si="0"/>
        <v/>
      </c>
      <c r="I32" s="19" t="str">
        <f t="shared" si="1"/>
        <v/>
      </c>
      <c r="J32" s="8">
        <v>550</v>
      </c>
      <c r="K32" s="8">
        <v>1</v>
      </c>
      <c r="L32" s="8">
        <v>0</v>
      </c>
      <c r="M32" s="8">
        <v>550</v>
      </c>
    </row>
    <row r="33" spans="1:13" ht="26" x14ac:dyDescent="0.2">
      <c r="A33" s="4">
        <v>53019</v>
      </c>
      <c r="B33" s="5">
        <v>45981.416666666701</v>
      </c>
      <c r="C33" s="4" t="s">
        <v>44</v>
      </c>
      <c r="D33" s="6" t="s">
        <v>26</v>
      </c>
      <c r="E33" s="6" t="s">
        <v>27</v>
      </c>
      <c r="F33" s="6" t="s">
        <v>33</v>
      </c>
      <c r="G33" s="7" t="s">
        <v>52</v>
      </c>
      <c r="H33" s="19" t="str">
        <f t="shared" si="0"/>
        <v/>
      </c>
      <c r="I33" s="19" t="str">
        <f t="shared" si="1"/>
        <v/>
      </c>
      <c r="J33" s="8">
        <v>550</v>
      </c>
      <c r="K33" s="8">
        <v>1</v>
      </c>
      <c r="L33" s="8">
        <v>0</v>
      </c>
      <c r="M33" s="8">
        <v>550</v>
      </c>
    </row>
    <row r="34" spans="1:13" ht="48" x14ac:dyDescent="0.2">
      <c r="A34" s="4">
        <v>53012</v>
      </c>
      <c r="B34" s="5">
        <v>45981.427083333299</v>
      </c>
      <c r="C34" s="4" t="s">
        <v>53</v>
      </c>
      <c r="D34" s="6" t="s">
        <v>49</v>
      </c>
      <c r="E34" s="6" t="s">
        <v>54</v>
      </c>
      <c r="F34" s="6" t="s">
        <v>28</v>
      </c>
      <c r="G34" s="7" t="s">
        <v>148</v>
      </c>
      <c r="H34" s="19">
        <f t="shared" si="0"/>
        <v>0.42708333333333331</v>
      </c>
      <c r="I34" s="19">
        <f t="shared" si="1"/>
        <v>0.45833333333333331</v>
      </c>
      <c r="J34" s="8">
        <v>500</v>
      </c>
      <c r="K34" s="8">
        <v>1</v>
      </c>
      <c r="L34" s="8">
        <v>0</v>
      </c>
      <c r="M34" s="8">
        <v>500</v>
      </c>
    </row>
    <row r="35" spans="1:13" ht="26" x14ac:dyDescent="0.2">
      <c r="A35" s="4">
        <v>53021</v>
      </c>
      <c r="B35" s="5">
        <v>45981.4375</v>
      </c>
      <c r="C35" s="4" t="s">
        <v>55</v>
      </c>
      <c r="D35" s="6" t="s">
        <v>26</v>
      </c>
      <c r="E35" s="6" t="s">
        <v>32</v>
      </c>
      <c r="F35" s="6" t="s">
        <v>33</v>
      </c>
      <c r="G35" s="7" t="s">
        <v>47</v>
      </c>
      <c r="H35" s="19" t="str">
        <f t="shared" si="0"/>
        <v/>
      </c>
      <c r="I35" s="19" t="str">
        <f t="shared" si="1"/>
        <v/>
      </c>
      <c r="J35" s="8">
        <v>500</v>
      </c>
      <c r="K35" s="8">
        <v>1</v>
      </c>
      <c r="L35" s="8">
        <v>0</v>
      </c>
      <c r="M35" s="8">
        <v>500</v>
      </c>
    </row>
    <row r="36" spans="1:13" ht="48" x14ac:dyDescent="0.2">
      <c r="A36" s="4">
        <v>53021</v>
      </c>
      <c r="B36" s="5">
        <v>45981.4375</v>
      </c>
      <c r="C36" s="4" t="s">
        <v>55</v>
      </c>
      <c r="D36" s="6" t="s">
        <v>26</v>
      </c>
      <c r="E36" s="6" t="s">
        <v>32</v>
      </c>
      <c r="F36" s="6" t="s">
        <v>28</v>
      </c>
      <c r="G36" s="7" t="s">
        <v>149</v>
      </c>
      <c r="H36" s="19">
        <f t="shared" si="0"/>
        <v>0.4375</v>
      </c>
      <c r="I36" s="19">
        <f t="shared" si="1"/>
        <v>0.47916666666666669</v>
      </c>
      <c r="J36" s="8">
        <v>1700</v>
      </c>
      <c r="K36" s="8">
        <v>1</v>
      </c>
      <c r="L36" s="8">
        <v>0</v>
      </c>
      <c r="M36" s="8">
        <v>1700</v>
      </c>
    </row>
    <row r="37" spans="1:13" ht="39" x14ac:dyDescent="0.2">
      <c r="A37" s="4">
        <v>53016</v>
      </c>
      <c r="B37" s="5">
        <v>45981.4375</v>
      </c>
      <c r="C37" s="4" t="s">
        <v>56</v>
      </c>
      <c r="D37" s="6" t="s">
        <v>26</v>
      </c>
      <c r="E37" s="6" t="s">
        <v>57</v>
      </c>
      <c r="F37" s="6" t="s">
        <v>33</v>
      </c>
      <c r="G37" s="7" t="s">
        <v>51</v>
      </c>
      <c r="H37" s="19" t="str">
        <f t="shared" si="0"/>
        <v/>
      </c>
      <c r="I37" s="19" t="str">
        <f t="shared" si="1"/>
        <v/>
      </c>
      <c r="J37" s="8">
        <v>350</v>
      </c>
      <c r="K37" s="8">
        <v>1</v>
      </c>
      <c r="L37" s="8">
        <v>0</v>
      </c>
      <c r="M37" s="8">
        <v>350</v>
      </c>
    </row>
    <row r="38" spans="1:13" ht="39" x14ac:dyDescent="0.2">
      <c r="A38" s="4">
        <v>53016</v>
      </c>
      <c r="B38" s="5">
        <v>45981.4375</v>
      </c>
      <c r="C38" s="4" t="s">
        <v>56</v>
      </c>
      <c r="D38" s="6" t="s">
        <v>26</v>
      </c>
      <c r="E38" s="6" t="s">
        <v>57</v>
      </c>
      <c r="F38" s="6" t="s">
        <v>33</v>
      </c>
      <c r="G38" s="7" t="s">
        <v>37</v>
      </c>
      <c r="H38" s="19" t="str">
        <f t="shared" si="0"/>
        <v/>
      </c>
      <c r="I38" s="19" t="str">
        <f t="shared" si="1"/>
        <v/>
      </c>
      <c r="J38" s="8">
        <v>450</v>
      </c>
      <c r="K38" s="8">
        <v>1</v>
      </c>
      <c r="L38" s="8">
        <v>0</v>
      </c>
      <c r="M38" s="8">
        <v>450</v>
      </c>
    </row>
    <row r="39" spans="1:13" ht="48" x14ac:dyDescent="0.2">
      <c r="A39" s="4">
        <v>53016</v>
      </c>
      <c r="B39" s="5">
        <v>45981.4375</v>
      </c>
      <c r="C39" s="4" t="s">
        <v>56</v>
      </c>
      <c r="D39" s="6" t="s">
        <v>26</v>
      </c>
      <c r="E39" s="6" t="s">
        <v>57</v>
      </c>
      <c r="F39" s="6" t="s">
        <v>28</v>
      </c>
      <c r="G39" s="7" t="s">
        <v>150</v>
      </c>
      <c r="H39" s="19">
        <f t="shared" si="0"/>
        <v>0.4375</v>
      </c>
      <c r="I39" s="19">
        <f t="shared" si="1"/>
        <v>0.45833333333333331</v>
      </c>
      <c r="J39" s="8">
        <v>550</v>
      </c>
      <c r="K39" s="8">
        <v>1</v>
      </c>
      <c r="L39" s="8">
        <v>0</v>
      </c>
      <c r="M39" s="8">
        <v>550</v>
      </c>
    </row>
    <row r="40" spans="1:13" ht="26" x14ac:dyDescent="0.2">
      <c r="A40" s="4">
        <v>53014</v>
      </c>
      <c r="B40" s="5">
        <v>45981.4375</v>
      </c>
      <c r="C40" s="4" t="s">
        <v>58</v>
      </c>
      <c r="D40" s="6" t="s">
        <v>15</v>
      </c>
      <c r="E40" s="6" t="s">
        <v>36</v>
      </c>
      <c r="F40" s="6" t="s">
        <v>29</v>
      </c>
      <c r="G40" s="7" t="s">
        <v>30</v>
      </c>
      <c r="H40" s="19" t="str">
        <f t="shared" si="0"/>
        <v/>
      </c>
      <c r="I40" s="19" t="str">
        <f t="shared" si="1"/>
        <v/>
      </c>
      <c r="J40" s="8">
        <v>-75</v>
      </c>
      <c r="K40" s="8">
        <v>1</v>
      </c>
      <c r="L40" s="8">
        <v>0</v>
      </c>
      <c r="M40" s="8">
        <v>-75</v>
      </c>
    </row>
    <row r="41" spans="1:13" ht="48" x14ac:dyDescent="0.2">
      <c r="A41" s="4">
        <v>53014</v>
      </c>
      <c r="B41" s="5">
        <v>45981.4375</v>
      </c>
      <c r="C41" s="4" t="s">
        <v>58</v>
      </c>
      <c r="D41" s="6" t="s">
        <v>15</v>
      </c>
      <c r="E41" s="6" t="s">
        <v>36</v>
      </c>
      <c r="F41" s="6" t="s">
        <v>28</v>
      </c>
      <c r="G41" s="7" t="s">
        <v>151</v>
      </c>
      <c r="H41" s="19">
        <f t="shared" si="0"/>
        <v>0.4375</v>
      </c>
      <c r="I41" s="19">
        <f t="shared" si="1"/>
        <v>0.45833333333333331</v>
      </c>
      <c r="J41" s="8">
        <v>500</v>
      </c>
      <c r="K41" s="8">
        <v>1</v>
      </c>
      <c r="L41" s="8">
        <v>0</v>
      </c>
      <c r="M41" s="8">
        <v>500</v>
      </c>
    </row>
    <row r="42" spans="1:13" ht="48" x14ac:dyDescent="0.2">
      <c r="A42" s="4">
        <v>53018</v>
      </c>
      <c r="B42" s="5">
        <v>45981.458333333299</v>
      </c>
      <c r="C42" s="4" t="s">
        <v>59</v>
      </c>
      <c r="D42" s="6" t="s">
        <v>26</v>
      </c>
      <c r="E42" s="6" t="s">
        <v>20</v>
      </c>
      <c r="F42" s="6" t="s">
        <v>28</v>
      </c>
      <c r="G42" s="7" t="s">
        <v>152</v>
      </c>
      <c r="H42" s="19">
        <f t="shared" si="0"/>
        <v>0.45833333333333331</v>
      </c>
      <c r="I42" s="19">
        <f t="shared" si="1"/>
        <v>0.47916666666666669</v>
      </c>
      <c r="J42" s="8">
        <v>0</v>
      </c>
      <c r="K42" s="8">
        <v>1</v>
      </c>
      <c r="L42" s="8">
        <v>0</v>
      </c>
      <c r="M42" s="8">
        <v>0</v>
      </c>
    </row>
    <row r="43" spans="1:13" ht="48" x14ac:dyDescent="0.2">
      <c r="A43" s="4">
        <v>53028</v>
      </c>
      <c r="B43" s="5">
        <v>45981.458333333299</v>
      </c>
      <c r="C43" s="4" t="s">
        <v>60</v>
      </c>
      <c r="D43" s="6" t="s">
        <v>26</v>
      </c>
      <c r="E43" s="6" t="s">
        <v>46</v>
      </c>
      <c r="F43" s="6" t="s">
        <v>28</v>
      </c>
      <c r="G43" s="7" t="s">
        <v>158</v>
      </c>
      <c r="H43" s="19">
        <f t="shared" si="0"/>
        <v>0.45833333333333331</v>
      </c>
      <c r="I43" s="19">
        <f t="shared" si="1"/>
        <v>0.5</v>
      </c>
      <c r="J43" s="8">
        <v>1400</v>
      </c>
      <c r="K43" s="8">
        <v>1</v>
      </c>
      <c r="L43" s="8">
        <v>0</v>
      </c>
      <c r="M43" s="8">
        <v>1400</v>
      </c>
    </row>
    <row r="44" spans="1:13" ht="26" x14ac:dyDescent="0.2">
      <c r="A44" s="4">
        <v>53028</v>
      </c>
      <c r="B44" s="5">
        <v>45981.458333333299</v>
      </c>
      <c r="C44" s="4" t="s">
        <v>60</v>
      </c>
      <c r="D44" s="6" t="s">
        <v>26</v>
      </c>
      <c r="E44" s="6" t="s">
        <v>46</v>
      </c>
      <c r="F44" s="6" t="s">
        <v>29</v>
      </c>
      <c r="G44" s="7" t="s">
        <v>30</v>
      </c>
      <c r="H44" s="19" t="str">
        <f t="shared" si="0"/>
        <v/>
      </c>
      <c r="I44" s="19" t="str">
        <f t="shared" si="1"/>
        <v/>
      </c>
      <c r="J44" s="8">
        <v>-1400</v>
      </c>
      <c r="K44" s="8">
        <v>1</v>
      </c>
      <c r="L44" s="8">
        <v>0</v>
      </c>
      <c r="M44" s="8">
        <v>-1400</v>
      </c>
    </row>
    <row r="45" spans="1:13" ht="36" x14ac:dyDescent="0.2">
      <c r="A45" s="4">
        <v>53024</v>
      </c>
      <c r="B45" s="5">
        <v>45981.458333333299</v>
      </c>
      <c r="C45" s="4" t="s">
        <v>61</v>
      </c>
      <c r="D45" s="6" t="s">
        <v>26</v>
      </c>
      <c r="E45" s="6" t="s">
        <v>27</v>
      </c>
      <c r="F45" s="6" t="s">
        <v>28</v>
      </c>
      <c r="G45" s="7" t="s">
        <v>153</v>
      </c>
      <c r="H45" s="19">
        <f t="shared" si="0"/>
        <v>0.45833333333333331</v>
      </c>
      <c r="I45" s="19">
        <f t="shared" si="1"/>
        <v>0.47916666666666669</v>
      </c>
      <c r="J45" s="8">
        <v>550</v>
      </c>
      <c r="K45" s="8">
        <v>1</v>
      </c>
      <c r="L45" s="8">
        <v>0</v>
      </c>
      <c r="M45" s="8">
        <v>550</v>
      </c>
    </row>
    <row r="46" spans="1:13" ht="48" x14ac:dyDescent="0.2">
      <c r="A46" s="4">
        <v>53029</v>
      </c>
      <c r="B46" s="5">
        <v>45981.458333333299</v>
      </c>
      <c r="C46" s="4" t="s">
        <v>62</v>
      </c>
      <c r="D46" s="6" t="s">
        <v>26</v>
      </c>
      <c r="E46" s="6" t="s">
        <v>39</v>
      </c>
      <c r="F46" s="6" t="s">
        <v>28</v>
      </c>
      <c r="G46" s="7" t="s">
        <v>159</v>
      </c>
      <c r="H46" s="19">
        <f t="shared" si="0"/>
        <v>0.45833333333333331</v>
      </c>
      <c r="I46" s="19">
        <f t="shared" si="1"/>
        <v>0.5</v>
      </c>
      <c r="J46" s="8">
        <v>2600</v>
      </c>
      <c r="K46" s="8">
        <v>1</v>
      </c>
      <c r="L46" s="8">
        <v>0</v>
      </c>
      <c r="M46" s="8">
        <v>2600</v>
      </c>
    </row>
    <row r="47" spans="1:13" ht="39" x14ac:dyDescent="0.2">
      <c r="A47" s="4">
        <v>53029</v>
      </c>
      <c r="B47" s="5">
        <v>45981.458333333299</v>
      </c>
      <c r="C47" s="4" t="s">
        <v>62</v>
      </c>
      <c r="D47" s="6" t="s">
        <v>26</v>
      </c>
      <c r="E47" s="6" t="s">
        <v>39</v>
      </c>
      <c r="F47" s="6" t="s">
        <v>29</v>
      </c>
      <c r="G47" s="7" t="s">
        <v>30</v>
      </c>
      <c r="H47" s="19" t="str">
        <f t="shared" si="0"/>
        <v/>
      </c>
      <c r="I47" s="19" t="str">
        <f t="shared" si="1"/>
        <v/>
      </c>
      <c r="J47" s="8">
        <v>-500</v>
      </c>
      <c r="K47" s="8">
        <v>1</v>
      </c>
      <c r="L47" s="8">
        <v>0</v>
      </c>
      <c r="M47" s="8">
        <v>-500</v>
      </c>
    </row>
    <row r="48" spans="1:13" ht="48" x14ac:dyDescent="0.2">
      <c r="A48" s="4">
        <v>53023</v>
      </c>
      <c r="B48" s="5">
        <v>45981.458333333299</v>
      </c>
      <c r="C48" s="4" t="s">
        <v>63</v>
      </c>
      <c r="D48" s="6" t="s">
        <v>49</v>
      </c>
      <c r="E48" s="6" t="s">
        <v>50</v>
      </c>
      <c r="F48" s="6" t="s">
        <v>28</v>
      </c>
      <c r="G48" s="7" t="s">
        <v>154</v>
      </c>
      <c r="H48" s="19">
        <f t="shared" si="0"/>
        <v>0.45833333333333331</v>
      </c>
      <c r="I48" s="19">
        <f t="shared" si="1"/>
        <v>0.47916666666666669</v>
      </c>
      <c r="J48" s="8">
        <v>550</v>
      </c>
      <c r="K48" s="8">
        <v>1</v>
      </c>
      <c r="L48" s="8">
        <v>0</v>
      </c>
      <c r="M48" s="8">
        <v>550</v>
      </c>
    </row>
    <row r="49" spans="1:13" ht="36" x14ac:dyDescent="0.2">
      <c r="A49" s="4">
        <v>53022</v>
      </c>
      <c r="B49" s="5">
        <v>45981.458333333299</v>
      </c>
      <c r="C49" s="4" t="s">
        <v>64</v>
      </c>
      <c r="D49" s="6" t="s">
        <v>49</v>
      </c>
      <c r="E49" s="6" t="s">
        <v>54</v>
      </c>
      <c r="F49" s="6" t="s">
        <v>28</v>
      </c>
      <c r="G49" s="7" t="s">
        <v>155</v>
      </c>
      <c r="H49" s="19">
        <f t="shared" si="0"/>
        <v>0.45833333333333331</v>
      </c>
      <c r="I49" s="19">
        <f t="shared" si="1"/>
        <v>0.47916666666666669</v>
      </c>
      <c r="J49" s="8">
        <v>450</v>
      </c>
      <c r="K49" s="8">
        <v>1</v>
      </c>
      <c r="L49" s="8">
        <v>0</v>
      </c>
      <c r="M49" s="8">
        <v>450</v>
      </c>
    </row>
    <row r="50" spans="1:13" ht="26" x14ac:dyDescent="0.2">
      <c r="A50" s="4">
        <v>53025</v>
      </c>
      <c r="B50" s="5">
        <v>45981.458333333299</v>
      </c>
      <c r="C50" s="4" t="s">
        <v>65</v>
      </c>
      <c r="D50" s="6" t="s">
        <v>26</v>
      </c>
      <c r="E50" s="6" t="s">
        <v>57</v>
      </c>
      <c r="F50" s="6" t="s">
        <v>33</v>
      </c>
      <c r="G50" s="7" t="s">
        <v>66</v>
      </c>
      <c r="H50" s="19" t="str">
        <f t="shared" si="0"/>
        <v/>
      </c>
      <c r="I50" s="19" t="str">
        <f t="shared" si="1"/>
        <v/>
      </c>
      <c r="J50" s="8">
        <v>350</v>
      </c>
      <c r="K50" s="8">
        <v>1</v>
      </c>
      <c r="L50" s="8">
        <v>0</v>
      </c>
      <c r="M50" s="8">
        <v>350</v>
      </c>
    </row>
    <row r="51" spans="1:13" ht="48" x14ac:dyDescent="0.2">
      <c r="A51" s="4">
        <v>53025</v>
      </c>
      <c r="B51" s="5">
        <v>45981.458333333299</v>
      </c>
      <c r="C51" s="4" t="s">
        <v>65</v>
      </c>
      <c r="D51" s="6" t="s">
        <v>26</v>
      </c>
      <c r="E51" s="6" t="s">
        <v>57</v>
      </c>
      <c r="F51" s="6" t="s">
        <v>28</v>
      </c>
      <c r="G51" s="7" t="s">
        <v>156</v>
      </c>
      <c r="H51" s="19">
        <f t="shared" si="0"/>
        <v>0.45833333333333331</v>
      </c>
      <c r="I51" s="19">
        <f t="shared" si="1"/>
        <v>0.47916666666666669</v>
      </c>
      <c r="J51" s="8">
        <v>550</v>
      </c>
      <c r="K51" s="8">
        <v>1</v>
      </c>
      <c r="L51" s="8">
        <v>0</v>
      </c>
      <c r="M51" s="8">
        <v>550</v>
      </c>
    </row>
    <row r="52" spans="1:13" ht="26" x14ac:dyDescent="0.2">
      <c r="A52" s="4">
        <v>53026</v>
      </c>
      <c r="B52" s="5">
        <v>45981.458333333299</v>
      </c>
      <c r="C52" s="4" t="s">
        <v>67</v>
      </c>
      <c r="D52" s="6" t="s">
        <v>68</v>
      </c>
      <c r="E52" s="6" t="s">
        <v>69</v>
      </c>
      <c r="F52" s="6" t="s">
        <v>29</v>
      </c>
      <c r="G52" s="7" t="s">
        <v>30</v>
      </c>
      <c r="H52" s="19" t="str">
        <f t="shared" si="0"/>
        <v/>
      </c>
      <c r="I52" s="19" t="str">
        <f t="shared" si="1"/>
        <v/>
      </c>
      <c r="J52" s="8">
        <v>-67.5</v>
      </c>
      <c r="K52" s="8">
        <v>1</v>
      </c>
      <c r="L52" s="8">
        <v>0</v>
      </c>
      <c r="M52" s="8">
        <v>-67.5</v>
      </c>
    </row>
    <row r="53" spans="1:13" ht="26" x14ac:dyDescent="0.2">
      <c r="A53" s="4">
        <v>53026</v>
      </c>
      <c r="B53" s="5">
        <v>45981.458333333299</v>
      </c>
      <c r="C53" s="4" t="s">
        <v>67</v>
      </c>
      <c r="D53" s="6" t="s">
        <v>68</v>
      </c>
      <c r="E53" s="6" t="s">
        <v>69</v>
      </c>
      <c r="F53" s="6" t="s">
        <v>33</v>
      </c>
      <c r="G53" s="7" t="s">
        <v>37</v>
      </c>
      <c r="H53" s="19" t="str">
        <f t="shared" si="0"/>
        <v/>
      </c>
      <c r="I53" s="19" t="str">
        <f t="shared" si="1"/>
        <v/>
      </c>
      <c r="J53" s="8">
        <v>450</v>
      </c>
      <c r="K53" s="8">
        <v>1</v>
      </c>
      <c r="L53" s="8">
        <v>0</v>
      </c>
      <c r="M53" s="8">
        <v>450</v>
      </c>
    </row>
    <row r="54" spans="1:13" ht="26" x14ac:dyDescent="0.2">
      <c r="A54" s="4">
        <v>53026</v>
      </c>
      <c r="B54" s="5">
        <v>45981.458333333299</v>
      </c>
      <c r="C54" s="4" t="s">
        <v>67</v>
      </c>
      <c r="D54" s="6" t="s">
        <v>68</v>
      </c>
      <c r="E54" s="6" t="s">
        <v>69</v>
      </c>
      <c r="F54" s="6" t="s">
        <v>29</v>
      </c>
      <c r="G54" s="7" t="s">
        <v>30</v>
      </c>
      <c r="H54" s="19" t="str">
        <f t="shared" si="0"/>
        <v/>
      </c>
      <c r="I54" s="19" t="str">
        <f t="shared" si="1"/>
        <v/>
      </c>
      <c r="J54" s="8">
        <v>-75</v>
      </c>
      <c r="K54" s="8">
        <v>1</v>
      </c>
      <c r="L54" s="8">
        <v>0</v>
      </c>
      <c r="M54" s="8">
        <v>-75</v>
      </c>
    </row>
    <row r="55" spans="1:13" ht="48" x14ac:dyDescent="0.2">
      <c r="A55" s="4">
        <v>53026</v>
      </c>
      <c r="B55" s="5">
        <v>45981.458333333299</v>
      </c>
      <c r="C55" s="4" t="s">
        <v>67</v>
      </c>
      <c r="D55" s="6" t="s">
        <v>68</v>
      </c>
      <c r="E55" s="6" t="s">
        <v>69</v>
      </c>
      <c r="F55" s="6" t="s">
        <v>28</v>
      </c>
      <c r="G55" s="7" t="s">
        <v>157</v>
      </c>
      <c r="H55" s="19">
        <f t="shared" si="0"/>
        <v>0.45833333333333331</v>
      </c>
      <c r="I55" s="19">
        <f t="shared" si="1"/>
        <v>0.47916666666666669</v>
      </c>
      <c r="J55" s="8">
        <v>500</v>
      </c>
      <c r="K55" s="8">
        <v>1</v>
      </c>
      <c r="L55" s="8">
        <v>0</v>
      </c>
      <c r="M55" s="8">
        <v>500</v>
      </c>
    </row>
    <row r="56" spans="1:13" ht="26" x14ac:dyDescent="0.2">
      <c r="A56" s="4">
        <v>53053</v>
      </c>
      <c r="B56" s="5">
        <v>45981.479166666701</v>
      </c>
      <c r="C56" s="4" t="s">
        <v>70</v>
      </c>
      <c r="D56" s="6" t="s">
        <v>49</v>
      </c>
      <c r="E56" s="6" t="s">
        <v>54</v>
      </c>
      <c r="F56" s="6" t="s">
        <v>33</v>
      </c>
      <c r="G56" s="7" t="s">
        <v>37</v>
      </c>
      <c r="H56" s="19" t="str">
        <f t="shared" si="0"/>
        <v/>
      </c>
      <c r="I56" s="19" t="str">
        <f t="shared" si="1"/>
        <v/>
      </c>
      <c r="J56" s="8">
        <v>450</v>
      </c>
      <c r="K56" s="8">
        <v>1</v>
      </c>
      <c r="L56" s="8">
        <v>0</v>
      </c>
      <c r="M56" s="8">
        <v>450</v>
      </c>
    </row>
    <row r="57" spans="1:13" ht="26" x14ac:dyDescent="0.2">
      <c r="A57" s="4">
        <v>53053</v>
      </c>
      <c r="B57" s="5">
        <v>45981.479166666701</v>
      </c>
      <c r="C57" s="4" t="s">
        <v>70</v>
      </c>
      <c r="D57" s="6" t="s">
        <v>49</v>
      </c>
      <c r="E57" s="6" t="s">
        <v>54</v>
      </c>
      <c r="F57" s="6" t="s">
        <v>33</v>
      </c>
      <c r="G57" s="7" t="s">
        <v>47</v>
      </c>
      <c r="H57" s="19" t="str">
        <f t="shared" si="0"/>
        <v/>
      </c>
      <c r="I57" s="19" t="str">
        <f t="shared" si="1"/>
        <v/>
      </c>
      <c r="J57" s="8">
        <v>500</v>
      </c>
      <c r="K57" s="8">
        <v>1</v>
      </c>
      <c r="L57" s="8">
        <v>0</v>
      </c>
      <c r="M57" s="8">
        <v>500</v>
      </c>
    </row>
    <row r="58" spans="1:13" ht="26" x14ac:dyDescent="0.2">
      <c r="A58" s="4">
        <v>53053</v>
      </c>
      <c r="B58" s="5">
        <v>45981.479166666701</v>
      </c>
      <c r="C58" s="4" t="s">
        <v>70</v>
      </c>
      <c r="D58" s="6" t="s">
        <v>49</v>
      </c>
      <c r="E58" s="6" t="s">
        <v>54</v>
      </c>
      <c r="F58" s="6" t="s">
        <v>33</v>
      </c>
      <c r="G58" s="7" t="s">
        <v>71</v>
      </c>
      <c r="H58" s="19" t="str">
        <f t="shared" si="0"/>
        <v/>
      </c>
      <c r="I58" s="19" t="str">
        <f t="shared" si="1"/>
        <v/>
      </c>
      <c r="J58" s="8">
        <v>850</v>
      </c>
      <c r="K58" s="8">
        <v>1</v>
      </c>
      <c r="L58" s="8">
        <v>0</v>
      </c>
      <c r="M58" s="8">
        <v>850</v>
      </c>
    </row>
    <row r="59" spans="1:13" ht="48" x14ac:dyDescent="0.2">
      <c r="A59" s="4">
        <v>53053</v>
      </c>
      <c r="B59" s="5">
        <v>45981.479166666701</v>
      </c>
      <c r="C59" s="4" t="s">
        <v>70</v>
      </c>
      <c r="D59" s="6" t="s">
        <v>49</v>
      </c>
      <c r="E59" s="6" t="s">
        <v>54</v>
      </c>
      <c r="F59" s="6" t="s">
        <v>28</v>
      </c>
      <c r="G59" s="7" t="s">
        <v>160</v>
      </c>
      <c r="H59" s="19">
        <f t="shared" si="0"/>
        <v>0.47916666666666669</v>
      </c>
      <c r="I59" s="19">
        <f t="shared" si="1"/>
        <v>0.57291666666666663</v>
      </c>
      <c r="J59" s="8">
        <v>1700</v>
      </c>
      <c r="K59" s="8">
        <v>1</v>
      </c>
      <c r="L59" s="8">
        <v>0</v>
      </c>
      <c r="M59" s="8">
        <v>1700</v>
      </c>
    </row>
    <row r="60" spans="1:13" ht="26" x14ac:dyDescent="0.2">
      <c r="A60" s="4">
        <v>53031</v>
      </c>
      <c r="B60" s="5">
        <v>45981.479166666701</v>
      </c>
      <c r="C60" s="4" t="s">
        <v>72</v>
      </c>
      <c r="D60" s="6" t="s">
        <v>15</v>
      </c>
      <c r="E60" s="6" t="s">
        <v>41</v>
      </c>
      <c r="F60" s="6" t="s">
        <v>29</v>
      </c>
      <c r="G60" s="7" t="s">
        <v>30</v>
      </c>
      <c r="H60" s="19" t="str">
        <f t="shared" si="0"/>
        <v/>
      </c>
      <c r="I60" s="19" t="str">
        <f t="shared" si="1"/>
        <v/>
      </c>
      <c r="J60" s="8">
        <v>-82.5</v>
      </c>
      <c r="K60" s="8">
        <v>1</v>
      </c>
      <c r="L60" s="8">
        <v>0</v>
      </c>
      <c r="M60" s="8">
        <v>-82.5</v>
      </c>
    </row>
    <row r="61" spans="1:13" ht="26" x14ac:dyDescent="0.2">
      <c r="A61" s="4">
        <v>53031</v>
      </c>
      <c r="B61" s="5">
        <v>45981.479166666701</v>
      </c>
      <c r="C61" s="4" t="s">
        <v>72</v>
      </c>
      <c r="D61" s="6" t="s">
        <v>15</v>
      </c>
      <c r="E61" s="6" t="s">
        <v>41</v>
      </c>
      <c r="F61" s="6" t="s">
        <v>33</v>
      </c>
      <c r="G61" s="7" t="s">
        <v>34</v>
      </c>
      <c r="H61" s="19" t="str">
        <f t="shared" si="0"/>
        <v/>
      </c>
      <c r="I61" s="19" t="str">
        <f t="shared" si="1"/>
        <v/>
      </c>
      <c r="J61" s="8">
        <v>550</v>
      </c>
      <c r="K61" s="8">
        <v>1</v>
      </c>
      <c r="L61" s="8">
        <v>0</v>
      </c>
      <c r="M61" s="8">
        <v>550</v>
      </c>
    </row>
    <row r="62" spans="1:13" ht="26" x14ac:dyDescent="0.2">
      <c r="A62" s="4">
        <v>53031</v>
      </c>
      <c r="B62" s="5">
        <v>45981.479166666701</v>
      </c>
      <c r="C62" s="4" t="s">
        <v>72</v>
      </c>
      <c r="D62" s="6" t="s">
        <v>15</v>
      </c>
      <c r="E62" s="6" t="s">
        <v>41</v>
      </c>
      <c r="F62" s="6" t="s">
        <v>29</v>
      </c>
      <c r="G62" s="7" t="s">
        <v>30</v>
      </c>
      <c r="H62" s="19" t="str">
        <f t="shared" si="0"/>
        <v/>
      </c>
      <c r="I62" s="19" t="str">
        <f t="shared" si="1"/>
        <v/>
      </c>
      <c r="J62" s="8">
        <v>-67.5</v>
      </c>
      <c r="K62" s="8">
        <v>1</v>
      </c>
      <c r="L62" s="8">
        <v>0</v>
      </c>
      <c r="M62" s="8">
        <v>-67.5</v>
      </c>
    </row>
    <row r="63" spans="1:13" ht="26" x14ac:dyDescent="0.2">
      <c r="A63" s="4">
        <v>53031</v>
      </c>
      <c r="B63" s="5">
        <v>45981.479166666701</v>
      </c>
      <c r="C63" s="4" t="s">
        <v>72</v>
      </c>
      <c r="D63" s="6" t="s">
        <v>15</v>
      </c>
      <c r="E63" s="6" t="s">
        <v>41</v>
      </c>
      <c r="F63" s="6" t="s">
        <v>33</v>
      </c>
      <c r="G63" s="7" t="s">
        <v>37</v>
      </c>
      <c r="H63" s="19" t="str">
        <f t="shared" si="0"/>
        <v/>
      </c>
      <c r="I63" s="19" t="str">
        <f t="shared" si="1"/>
        <v/>
      </c>
      <c r="J63" s="8">
        <v>450</v>
      </c>
      <c r="K63" s="8">
        <v>1</v>
      </c>
      <c r="L63" s="8">
        <v>0</v>
      </c>
      <c r="M63" s="8">
        <v>450</v>
      </c>
    </row>
    <row r="64" spans="1:13" ht="26" x14ac:dyDescent="0.2">
      <c r="A64" s="4">
        <v>53031</v>
      </c>
      <c r="B64" s="5">
        <v>45981.479166666701</v>
      </c>
      <c r="C64" s="4" t="s">
        <v>72</v>
      </c>
      <c r="D64" s="6" t="s">
        <v>15</v>
      </c>
      <c r="E64" s="6" t="s">
        <v>41</v>
      </c>
      <c r="F64" s="6" t="s">
        <v>29</v>
      </c>
      <c r="G64" s="7" t="s">
        <v>30</v>
      </c>
      <c r="H64" s="19" t="str">
        <f t="shared" si="0"/>
        <v/>
      </c>
      <c r="I64" s="19" t="str">
        <f t="shared" si="1"/>
        <v/>
      </c>
      <c r="J64" s="8">
        <v>-75</v>
      </c>
      <c r="K64" s="8">
        <v>1</v>
      </c>
      <c r="L64" s="8">
        <v>0</v>
      </c>
      <c r="M64" s="8">
        <v>-75</v>
      </c>
    </row>
    <row r="65" spans="1:13" ht="48" x14ac:dyDescent="0.2">
      <c r="A65" s="4">
        <v>53031</v>
      </c>
      <c r="B65" s="5">
        <v>45981.479166666701</v>
      </c>
      <c r="C65" s="4" t="s">
        <v>72</v>
      </c>
      <c r="D65" s="6" t="s">
        <v>15</v>
      </c>
      <c r="E65" s="6" t="s">
        <v>41</v>
      </c>
      <c r="F65" s="6" t="s">
        <v>28</v>
      </c>
      <c r="G65" s="7" t="s">
        <v>161</v>
      </c>
      <c r="H65" s="19">
        <f t="shared" si="0"/>
        <v>0.47916666666666669</v>
      </c>
      <c r="I65" s="19">
        <f t="shared" si="1"/>
        <v>0.52083333333333337</v>
      </c>
      <c r="J65" s="8">
        <v>500</v>
      </c>
      <c r="K65" s="8">
        <v>1</v>
      </c>
      <c r="L65" s="8">
        <v>0</v>
      </c>
      <c r="M65" s="8">
        <v>500</v>
      </c>
    </row>
    <row r="66" spans="1:13" ht="48" x14ac:dyDescent="0.2">
      <c r="A66" s="4">
        <v>53027</v>
      </c>
      <c r="B66" s="5">
        <v>45981.479166666701</v>
      </c>
      <c r="C66" s="4" t="s">
        <v>73</v>
      </c>
      <c r="D66" s="6" t="s">
        <v>26</v>
      </c>
      <c r="E66" s="6" t="s">
        <v>32</v>
      </c>
      <c r="F66" s="6" t="s">
        <v>28</v>
      </c>
      <c r="G66" s="7" t="s">
        <v>162</v>
      </c>
      <c r="H66" s="19">
        <f t="shared" si="0"/>
        <v>0.47916666666666669</v>
      </c>
      <c r="I66" s="19">
        <f t="shared" si="1"/>
        <v>0.5</v>
      </c>
      <c r="J66" s="8">
        <v>500</v>
      </c>
      <c r="K66" s="8">
        <v>1</v>
      </c>
      <c r="L66" s="8">
        <v>0</v>
      </c>
      <c r="M66" s="8">
        <v>500</v>
      </c>
    </row>
    <row r="67" spans="1:13" ht="48" x14ac:dyDescent="0.2">
      <c r="A67" s="4">
        <v>53032</v>
      </c>
      <c r="B67" s="5">
        <v>45981.5</v>
      </c>
      <c r="C67" s="4" t="s">
        <v>74</v>
      </c>
      <c r="D67" s="6" t="s">
        <v>26</v>
      </c>
      <c r="E67" s="6" t="s">
        <v>46</v>
      </c>
      <c r="F67" s="6" t="s">
        <v>28</v>
      </c>
      <c r="G67" s="7" t="s">
        <v>163</v>
      </c>
      <c r="H67" s="19">
        <f t="shared" si="0"/>
        <v>0.5</v>
      </c>
      <c r="I67" s="19">
        <f t="shared" si="1"/>
        <v>0.52083333333333337</v>
      </c>
      <c r="J67" s="8">
        <v>0</v>
      </c>
      <c r="K67" s="8">
        <v>1</v>
      </c>
      <c r="L67" s="8">
        <v>0</v>
      </c>
      <c r="M67" s="8">
        <v>0</v>
      </c>
    </row>
    <row r="68" spans="1:13" ht="48" x14ac:dyDescent="0.2">
      <c r="A68" s="4">
        <v>53037</v>
      </c>
      <c r="B68" s="5">
        <v>45981.5</v>
      </c>
      <c r="C68" s="4" t="s">
        <v>75</v>
      </c>
      <c r="D68" s="6" t="s">
        <v>26</v>
      </c>
      <c r="E68" s="6" t="s">
        <v>27</v>
      </c>
      <c r="F68" s="6" t="s">
        <v>28</v>
      </c>
      <c r="G68" s="7" t="s">
        <v>164</v>
      </c>
      <c r="H68" s="19">
        <f t="shared" si="0"/>
        <v>0.5</v>
      </c>
      <c r="I68" s="19">
        <f t="shared" si="1"/>
        <v>0.54166666666666663</v>
      </c>
      <c r="J68" s="8">
        <v>1700</v>
      </c>
      <c r="K68" s="8">
        <v>1</v>
      </c>
      <c r="L68" s="8">
        <v>0</v>
      </c>
      <c r="M68" s="8">
        <v>1700</v>
      </c>
    </row>
    <row r="69" spans="1:13" ht="26" x14ac:dyDescent="0.2">
      <c r="A69" s="4">
        <v>53035</v>
      </c>
      <c r="B69" s="5">
        <v>45981.5</v>
      </c>
      <c r="C69" s="4" t="s">
        <v>76</v>
      </c>
      <c r="D69" s="6" t="s">
        <v>26</v>
      </c>
      <c r="E69" s="6" t="s">
        <v>39</v>
      </c>
      <c r="F69" s="6" t="s">
        <v>29</v>
      </c>
      <c r="G69" s="7" t="s">
        <v>30</v>
      </c>
      <c r="H69" s="19" t="str">
        <f t="shared" si="0"/>
        <v/>
      </c>
      <c r="I69" s="19" t="str">
        <f t="shared" si="1"/>
        <v/>
      </c>
      <c r="J69" s="8">
        <v>-600</v>
      </c>
      <c r="K69" s="8">
        <v>1</v>
      </c>
      <c r="L69" s="8">
        <v>0</v>
      </c>
      <c r="M69" s="8">
        <v>-600</v>
      </c>
    </row>
    <row r="70" spans="1:13" ht="48" x14ac:dyDescent="0.2">
      <c r="A70" s="4">
        <v>53035</v>
      </c>
      <c r="B70" s="5">
        <v>45981.5</v>
      </c>
      <c r="C70" s="4" t="s">
        <v>76</v>
      </c>
      <c r="D70" s="6" t="s">
        <v>26</v>
      </c>
      <c r="E70" s="6" t="s">
        <v>39</v>
      </c>
      <c r="F70" s="6" t="s">
        <v>28</v>
      </c>
      <c r="G70" s="7" t="s">
        <v>165</v>
      </c>
      <c r="H70" s="19">
        <f t="shared" si="0"/>
        <v>0.5</v>
      </c>
      <c r="I70" s="19">
        <f t="shared" si="1"/>
        <v>0.54166666666666663</v>
      </c>
      <c r="J70" s="8">
        <v>1600</v>
      </c>
      <c r="K70" s="8">
        <v>1</v>
      </c>
      <c r="L70" s="8">
        <v>0</v>
      </c>
      <c r="M70" s="8">
        <v>1600</v>
      </c>
    </row>
    <row r="71" spans="1:13" ht="26" x14ac:dyDescent="0.2">
      <c r="A71" s="4">
        <v>53034</v>
      </c>
      <c r="B71" s="5">
        <v>45981.5</v>
      </c>
      <c r="C71" s="4" t="s">
        <v>77</v>
      </c>
      <c r="D71" s="6" t="s">
        <v>26</v>
      </c>
      <c r="E71" s="6" t="s">
        <v>57</v>
      </c>
      <c r="F71" s="6" t="s">
        <v>33</v>
      </c>
      <c r="G71" s="7" t="s">
        <v>78</v>
      </c>
      <c r="H71" s="19" t="str">
        <f t="shared" si="0"/>
        <v/>
      </c>
      <c r="I71" s="19" t="str">
        <f t="shared" si="1"/>
        <v/>
      </c>
      <c r="J71" s="8">
        <v>350</v>
      </c>
      <c r="K71" s="8">
        <v>1</v>
      </c>
      <c r="L71" s="8">
        <v>0</v>
      </c>
      <c r="M71" s="8">
        <v>350</v>
      </c>
    </row>
    <row r="72" spans="1:13" ht="26" x14ac:dyDescent="0.2">
      <c r="A72" s="4">
        <v>53034</v>
      </c>
      <c r="B72" s="5">
        <v>45981.5</v>
      </c>
      <c r="C72" s="4" t="s">
        <v>77</v>
      </c>
      <c r="D72" s="6" t="s">
        <v>26</v>
      </c>
      <c r="E72" s="6" t="s">
        <v>57</v>
      </c>
      <c r="F72" s="6" t="s">
        <v>33</v>
      </c>
      <c r="G72" s="7" t="s">
        <v>66</v>
      </c>
      <c r="H72" s="19" t="str">
        <f t="shared" si="0"/>
        <v/>
      </c>
      <c r="I72" s="19" t="str">
        <f t="shared" si="1"/>
        <v/>
      </c>
      <c r="J72" s="8">
        <v>350</v>
      </c>
      <c r="K72" s="8">
        <v>1</v>
      </c>
      <c r="L72" s="8">
        <v>0</v>
      </c>
      <c r="M72" s="8">
        <v>350</v>
      </c>
    </row>
    <row r="73" spans="1:13" ht="48" x14ac:dyDescent="0.2">
      <c r="A73" s="4">
        <v>53034</v>
      </c>
      <c r="B73" s="5">
        <v>45981.5</v>
      </c>
      <c r="C73" s="4" t="s">
        <v>77</v>
      </c>
      <c r="D73" s="6" t="s">
        <v>26</v>
      </c>
      <c r="E73" s="6" t="s">
        <v>57</v>
      </c>
      <c r="F73" s="6" t="s">
        <v>28</v>
      </c>
      <c r="G73" s="7" t="s">
        <v>166</v>
      </c>
      <c r="H73" s="19">
        <f t="shared" ref="H73:H136" si="2">IFERROR(VALUE(MID(G73,FIND(":",G73)-2,10)),"")</f>
        <v>0.5</v>
      </c>
      <c r="I73" s="19">
        <f t="shared" ref="I73:I136" si="3">IFERROR(TIMEVALUE(MID(G73,FIND(" to ",G73)+4,10)),"")</f>
        <v>0.52083333333333337</v>
      </c>
      <c r="J73" s="8">
        <v>550</v>
      </c>
      <c r="K73" s="8">
        <v>1</v>
      </c>
      <c r="L73" s="8">
        <v>0</v>
      </c>
      <c r="M73" s="8">
        <v>550</v>
      </c>
    </row>
    <row r="74" spans="1:13" ht="26" x14ac:dyDescent="0.2">
      <c r="A74" s="4">
        <v>53037</v>
      </c>
      <c r="B74" s="5">
        <v>45981.5</v>
      </c>
      <c r="C74" s="4" t="s">
        <v>75</v>
      </c>
      <c r="D74" s="6" t="s">
        <v>26</v>
      </c>
      <c r="E74" s="6" t="s">
        <v>27</v>
      </c>
      <c r="F74" s="6" t="s">
        <v>33</v>
      </c>
      <c r="G74" s="7" t="s">
        <v>51</v>
      </c>
      <c r="H74" s="19" t="str">
        <f t="shared" si="2"/>
        <v/>
      </c>
      <c r="I74" s="19" t="str">
        <f t="shared" si="3"/>
        <v/>
      </c>
      <c r="J74" s="8">
        <v>350</v>
      </c>
      <c r="K74" s="8">
        <v>1</v>
      </c>
      <c r="L74" s="8">
        <v>0</v>
      </c>
      <c r="M74" s="8">
        <v>350</v>
      </c>
    </row>
    <row r="75" spans="1:13" ht="26" x14ac:dyDescent="0.2">
      <c r="A75" s="4">
        <v>53037</v>
      </c>
      <c r="B75" s="5">
        <v>45981.5</v>
      </c>
      <c r="C75" s="4" t="s">
        <v>75</v>
      </c>
      <c r="D75" s="6" t="s">
        <v>26</v>
      </c>
      <c r="E75" s="6" t="s">
        <v>27</v>
      </c>
      <c r="F75" s="6" t="s">
        <v>33</v>
      </c>
      <c r="G75" s="7" t="s">
        <v>37</v>
      </c>
      <c r="H75" s="19" t="str">
        <f t="shared" si="2"/>
        <v/>
      </c>
      <c r="I75" s="19" t="str">
        <f t="shared" si="3"/>
        <v/>
      </c>
      <c r="J75" s="8">
        <v>450</v>
      </c>
      <c r="K75" s="8">
        <v>1</v>
      </c>
      <c r="L75" s="8">
        <v>0</v>
      </c>
      <c r="M75" s="8">
        <v>450</v>
      </c>
    </row>
    <row r="76" spans="1:13" ht="48" x14ac:dyDescent="0.2">
      <c r="A76" s="4">
        <v>53051</v>
      </c>
      <c r="B76" s="5">
        <v>45981.520833333299</v>
      </c>
      <c r="C76" s="4" t="s">
        <v>79</v>
      </c>
      <c r="D76" s="6" t="s">
        <v>26</v>
      </c>
      <c r="E76" s="6" t="s">
        <v>32</v>
      </c>
      <c r="F76" s="6" t="s">
        <v>28</v>
      </c>
      <c r="G76" s="7" t="s">
        <v>167</v>
      </c>
      <c r="H76" s="19">
        <f t="shared" si="2"/>
        <v>0.52083333333333337</v>
      </c>
      <c r="I76" s="19">
        <f t="shared" si="3"/>
        <v>0.55208333333333337</v>
      </c>
      <c r="J76" s="8">
        <v>850</v>
      </c>
      <c r="K76" s="8">
        <v>1</v>
      </c>
      <c r="L76" s="8">
        <v>0</v>
      </c>
      <c r="M76" s="8">
        <v>850</v>
      </c>
    </row>
    <row r="77" spans="1:13" ht="26" x14ac:dyDescent="0.2">
      <c r="A77" s="4">
        <v>53051</v>
      </c>
      <c r="B77" s="5">
        <v>45981.520833333299</v>
      </c>
      <c r="C77" s="4" t="s">
        <v>79</v>
      </c>
      <c r="D77" s="6" t="s">
        <v>26</v>
      </c>
      <c r="E77" s="6" t="s">
        <v>32</v>
      </c>
      <c r="F77" s="6" t="s">
        <v>33</v>
      </c>
      <c r="G77" s="7" t="s">
        <v>71</v>
      </c>
      <c r="H77" s="19" t="str">
        <f t="shared" si="2"/>
        <v/>
      </c>
      <c r="I77" s="19" t="str">
        <f t="shared" si="3"/>
        <v/>
      </c>
      <c r="J77" s="8">
        <v>850</v>
      </c>
      <c r="K77" s="8">
        <v>1</v>
      </c>
      <c r="L77" s="8">
        <v>0</v>
      </c>
      <c r="M77" s="8">
        <v>850</v>
      </c>
    </row>
    <row r="78" spans="1:13" ht="26" x14ac:dyDescent="0.2">
      <c r="A78" s="4">
        <v>53051</v>
      </c>
      <c r="B78" s="5">
        <v>45981.520833333299</v>
      </c>
      <c r="C78" s="4" t="s">
        <v>79</v>
      </c>
      <c r="D78" s="6" t="s">
        <v>26</v>
      </c>
      <c r="E78" s="6" t="s">
        <v>32</v>
      </c>
      <c r="F78" s="6" t="s">
        <v>33</v>
      </c>
      <c r="G78" s="7" t="s">
        <v>51</v>
      </c>
      <c r="H78" s="19" t="str">
        <f t="shared" si="2"/>
        <v/>
      </c>
      <c r="I78" s="19" t="str">
        <f t="shared" si="3"/>
        <v/>
      </c>
      <c r="J78" s="8">
        <v>350</v>
      </c>
      <c r="K78" s="8">
        <v>1</v>
      </c>
      <c r="L78" s="8">
        <v>0</v>
      </c>
      <c r="M78" s="8">
        <v>350</v>
      </c>
    </row>
    <row r="79" spans="1:13" ht="48" x14ac:dyDescent="0.2">
      <c r="A79" s="4">
        <v>53036</v>
      </c>
      <c r="B79" s="5">
        <v>45981.520833333299</v>
      </c>
      <c r="C79" s="4" t="s">
        <v>80</v>
      </c>
      <c r="D79" s="6" t="s">
        <v>26</v>
      </c>
      <c r="E79" s="6" t="s">
        <v>46</v>
      </c>
      <c r="F79" s="6" t="s">
        <v>28</v>
      </c>
      <c r="G79" s="7" t="s">
        <v>168</v>
      </c>
      <c r="H79" s="19">
        <f t="shared" si="2"/>
        <v>0.52083333333333337</v>
      </c>
      <c r="I79" s="19">
        <f t="shared" si="3"/>
        <v>0.54166666666666663</v>
      </c>
      <c r="J79" s="8">
        <v>0</v>
      </c>
      <c r="K79" s="8">
        <v>1</v>
      </c>
      <c r="L79" s="8">
        <v>0</v>
      </c>
      <c r="M79" s="8">
        <v>0</v>
      </c>
    </row>
    <row r="80" spans="1:13" ht="48" x14ac:dyDescent="0.2">
      <c r="A80" s="4">
        <v>53042</v>
      </c>
      <c r="B80" s="5">
        <v>45981.541666666701</v>
      </c>
      <c r="C80" s="4" t="s">
        <v>81</v>
      </c>
      <c r="D80" s="6" t="s">
        <v>15</v>
      </c>
      <c r="E80" s="6" t="s">
        <v>41</v>
      </c>
      <c r="F80" s="6" t="s">
        <v>28</v>
      </c>
      <c r="G80" s="7" t="s">
        <v>169</v>
      </c>
      <c r="H80" s="19">
        <f t="shared" si="2"/>
        <v>0.54166666666666663</v>
      </c>
      <c r="I80" s="19">
        <f t="shared" si="3"/>
        <v>0.5625</v>
      </c>
      <c r="J80" s="8">
        <v>500</v>
      </c>
      <c r="K80" s="8">
        <v>1</v>
      </c>
      <c r="L80" s="8">
        <v>0</v>
      </c>
      <c r="M80" s="8">
        <v>500</v>
      </c>
    </row>
    <row r="81" spans="1:13" ht="26" x14ac:dyDescent="0.2">
      <c r="A81" s="4">
        <v>53046</v>
      </c>
      <c r="B81" s="5">
        <v>45981.541666666701</v>
      </c>
      <c r="C81" s="4" t="s">
        <v>82</v>
      </c>
      <c r="D81" s="6" t="s">
        <v>26</v>
      </c>
      <c r="E81" s="6" t="s">
        <v>27</v>
      </c>
      <c r="F81" s="6" t="s">
        <v>33</v>
      </c>
      <c r="G81" s="7" t="s">
        <v>66</v>
      </c>
      <c r="H81" s="19" t="str">
        <f t="shared" si="2"/>
        <v/>
      </c>
      <c r="I81" s="19" t="str">
        <f t="shared" si="3"/>
        <v/>
      </c>
      <c r="J81" s="8">
        <v>350</v>
      </c>
      <c r="K81" s="8">
        <v>1</v>
      </c>
      <c r="L81" s="8">
        <v>0</v>
      </c>
      <c r="M81" s="8">
        <v>350</v>
      </c>
    </row>
    <row r="82" spans="1:13" ht="26" x14ac:dyDescent="0.2">
      <c r="A82" s="4">
        <v>53046</v>
      </c>
      <c r="B82" s="5">
        <v>45981.541666666701</v>
      </c>
      <c r="C82" s="4" t="s">
        <v>82</v>
      </c>
      <c r="D82" s="6" t="s">
        <v>26</v>
      </c>
      <c r="E82" s="6" t="s">
        <v>27</v>
      </c>
      <c r="F82" s="6" t="s">
        <v>33</v>
      </c>
      <c r="G82" s="7" t="s">
        <v>37</v>
      </c>
      <c r="H82" s="19" t="str">
        <f t="shared" si="2"/>
        <v/>
      </c>
      <c r="I82" s="19" t="str">
        <f t="shared" si="3"/>
        <v/>
      </c>
      <c r="J82" s="8">
        <v>450</v>
      </c>
      <c r="K82" s="8">
        <v>1</v>
      </c>
      <c r="L82" s="8">
        <v>0</v>
      </c>
      <c r="M82" s="8">
        <v>450</v>
      </c>
    </row>
    <row r="83" spans="1:13" ht="36" x14ac:dyDescent="0.2">
      <c r="A83" s="4">
        <v>53046</v>
      </c>
      <c r="B83" s="5">
        <v>45981.541666666701</v>
      </c>
      <c r="C83" s="4" t="s">
        <v>82</v>
      </c>
      <c r="D83" s="6" t="s">
        <v>26</v>
      </c>
      <c r="E83" s="6" t="s">
        <v>27</v>
      </c>
      <c r="F83" s="6" t="s">
        <v>28</v>
      </c>
      <c r="G83" s="7" t="s">
        <v>170</v>
      </c>
      <c r="H83" s="19">
        <f t="shared" si="2"/>
        <v>0.54166666666666663</v>
      </c>
      <c r="I83" s="19">
        <f t="shared" si="3"/>
        <v>0.5625</v>
      </c>
      <c r="J83" s="8">
        <v>550</v>
      </c>
      <c r="K83" s="8">
        <v>1</v>
      </c>
      <c r="L83" s="8">
        <v>0</v>
      </c>
      <c r="M83" s="8">
        <v>550</v>
      </c>
    </row>
    <row r="84" spans="1:13" ht="26" x14ac:dyDescent="0.2">
      <c r="A84" s="4">
        <v>53041</v>
      </c>
      <c r="B84" s="5">
        <v>45981.541666666701</v>
      </c>
      <c r="C84" s="4" t="s">
        <v>83</v>
      </c>
      <c r="D84" s="6" t="s">
        <v>15</v>
      </c>
      <c r="E84" s="6" t="s">
        <v>36</v>
      </c>
      <c r="F84" s="6" t="s">
        <v>29</v>
      </c>
      <c r="G84" s="7" t="s">
        <v>30</v>
      </c>
      <c r="H84" s="19" t="str">
        <f t="shared" si="2"/>
        <v/>
      </c>
      <c r="I84" s="19" t="str">
        <f t="shared" si="3"/>
        <v/>
      </c>
      <c r="J84" s="8">
        <v>-67.5</v>
      </c>
      <c r="K84" s="8">
        <v>1</v>
      </c>
      <c r="L84" s="8">
        <v>0</v>
      </c>
      <c r="M84" s="8">
        <v>-67.5</v>
      </c>
    </row>
    <row r="85" spans="1:13" ht="26" x14ac:dyDescent="0.2">
      <c r="A85" s="4">
        <v>53041</v>
      </c>
      <c r="B85" s="5">
        <v>45981.541666666701</v>
      </c>
      <c r="C85" s="4" t="s">
        <v>83</v>
      </c>
      <c r="D85" s="6" t="s">
        <v>15</v>
      </c>
      <c r="E85" s="6" t="s">
        <v>36</v>
      </c>
      <c r="F85" s="6" t="s">
        <v>33</v>
      </c>
      <c r="G85" s="7" t="s">
        <v>37</v>
      </c>
      <c r="H85" s="19" t="str">
        <f t="shared" si="2"/>
        <v/>
      </c>
      <c r="I85" s="19" t="str">
        <f t="shared" si="3"/>
        <v/>
      </c>
      <c r="J85" s="8">
        <v>450</v>
      </c>
      <c r="K85" s="8">
        <v>1</v>
      </c>
      <c r="L85" s="8">
        <v>0</v>
      </c>
      <c r="M85" s="8">
        <v>450</v>
      </c>
    </row>
    <row r="86" spans="1:13" ht="26" x14ac:dyDescent="0.2">
      <c r="A86" s="4">
        <v>53041</v>
      </c>
      <c r="B86" s="5">
        <v>45981.541666666701</v>
      </c>
      <c r="C86" s="4" t="s">
        <v>83</v>
      </c>
      <c r="D86" s="6" t="s">
        <v>15</v>
      </c>
      <c r="E86" s="6" t="s">
        <v>36</v>
      </c>
      <c r="F86" s="6" t="s">
        <v>29</v>
      </c>
      <c r="G86" s="7" t="s">
        <v>30</v>
      </c>
      <c r="H86" s="19" t="str">
        <f t="shared" si="2"/>
        <v/>
      </c>
      <c r="I86" s="19" t="str">
        <f t="shared" si="3"/>
        <v/>
      </c>
      <c r="J86" s="8">
        <v>-82.5</v>
      </c>
      <c r="K86" s="8">
        <v>1</v>
      </c>
      <c r="L86" s="8">
        <v>0</v>
      </c>
      <c r="M86" s="8">
        <v>-82.5</v>
      </c>
    </row>
    <row r="87" spans="1:13" ht="48" x14ac:dyDescent="0.2">
      <c r="A87" s="4">
        <v>53041</v>
      </c>
      <c r="B87" s="5">
        <v>45981.541666666701</v>
      </c>
      <c r="C87" s="4" t="s">
        <v>83</v>
      </c>
      <c r="D87" s="6" t="s">
        <v>15</v>
      </c>
      <c r="E87" s="6" t="s">
        <v>36</v>
      </c>
      <c r="F87" s="6" t="s">
        <v>28</v>
      </c>
      <c r="G87" s="7" t="s">
        <v>171</v>
      </c>
      <c r="H87" s="19">
        <f t="shared" si="2"/>
        <v>0.54166666666666663</v>
      </c>
      <c r="I87" s="19">
        <f t="shared" si="3"/>
        <v>0.5625</v>
      </c>
      <c r="J87" s="8">
        <v>550</v>
      </c>
      <c r="K87" s="8">
        <v>1</v>
      </c>
      <c r="L87" s="8">
        <v>0</v>
      </c>
      <c r="M87" s="8">
        <v>550</v>
      </c>
    </row>
    <row r="88" spans="1:13" ht="48" x14ac:dyDescent="0.2">
      <c r="A88" s="4">
        <v>53048</v>
      </c>
      <c r="B88" s="5">
        <v>45981.541666666701</v>
      </c>
      <c r="C88" s="4" t="s">
        <v>14</v>
      </c>
      <c r="D88" s="6" t="s">
        <v>15</v>
      </c>
      <c r="E88" s="6" t="s">
        <v>16</v>
      </c>
      <c r="F88" s="6" t="s">
        <v>28</v>
      </c>
      <c r="G88" s="7" t="s">
        <v>172</v>
      </c>
      <c r="H88" s="19">
        <f t="shared" si="2"/>
        <v>0.54166666666666663</v>
      </c>
      <c r="I88" s="19">
        <f t="shared" si="3"/>
        <v>0.5625</v>
      </c>
      <c r="J88" s="8">
        <v>0</v>
      </c>
      <c r="K88" s="8">
        <v>1</v>
      </c>
      <c r="L88" s="8">
        <v>0</v>
      </c>
      <c r="M88" s="8">
        <v>0</v>
      </c>
    </row>
    <row r="89" spans="1:13" ht="48" x14ac:dyDescent="0.2">
      <c r="A89" s="4">
        <v>53045</v>
      </c>
      <c r="B89" s="5">
        <v>45981.541666666701</v>
      </c>
      <c r="C89" s="4" t="s">
        <v>84</v>
      </c>
      <c r="D89" s="6" t="s">
        <v>49</v>
      </c>
      <c r="E89" s="6" t="s">
        <v>50</v>
      </c>
      <c r="F89" s="6" t="s">
        <v>28</v>
      </c>
      <c r="G89" s="7" t="s">
        <v>173</v>
      </c>
      <c r="H89" s="19">
        <f t="shared" si="2"/>
        <v>0.54166666666666663</v>
      </c>
      <c r="I89" s="19">
        <f t="shared" si="3"/>
        <v>0.5625</v>
      </c>
      <c r="J89" s="8">
        <v>550</v>
      </c>
      <c r="K89" s="8">
        <v>1</v>
      </c>
      <c r="L89" s="8">
        <v>0</v>
      </c>
      <c r="M89" s="8">
        <v>550</v>
      </c>
    </row>
    <row r="90" spans="1:13" ht="26" x14ac:dyDescent="0.2">
      <c r="A90" s="4">
        <v>53045</v>
      </c>
      <c r="B90" s="5">
        <v>45981.541666666701</v>
      </c>
      <c r="C90" s="4" t="s">
        <v>84</v>
      </c>
      <c r="D90" s="6" t="s">
        <v>49</v>
      </c>
      <c r="E90" s="6" t="s">
        <v>50</v>
      </c>
      <c r="F90" s="6" t="s">
        <v>33</v>
      </c>
      <c r="G90" s="7" t="s">
        <v>66</v>
      </c>
      <c r="H90" s="19" t="str">
        <f t="shared" si="2"/>
        <v/>
      </c>
      <c r="I90" s="19" t="str">
        <f t="shared" si="3"/>
        <v/>
      </c>
      <c r="J90" s="8">
        <v>350</v>
      </c>
      <c r="K90" s="8">
        <v>1</v>
      </c>
      <c r="L90" s="8">
        <v>0</v>
      </c>
      <c r="M90" s="8">
        <v>350</v>
      </c>
    </row>
    <row r="91" spans="1:13" ht="39" x14ac:dyDescent="0.2">
      <c r="A91" s="4">
        <v>53054</v>
      </c>
      <c r="B91" s="5">
        <v>45981.5625</v>
      </c>
      <c r="C91" s="4" t="s">
        <v>85</v>
      </c>
      <c r="D91" s="6" t="s">
        <v>26</v>
      </c>
      <c r="E91" s="6" t="s">
        <v>27</v>
      </c>
      <c r="F91" s="6" t="s">
        <v>28</v>
      </c>
      <c r="G91" s="7" t="s">
        <v>174</v>
      </c>
      <c r="H91" s="19">
        <f t="shared" si="2"/>
        <v>0.5625</v>
      </c>
      <c r="I91" s="19">
        <f t="shared" si="3"/>
        <v>0.58333333333333337</v>
      </c>
      <c r="J91" s="8">
        <v>800</v>
      </c>
      <c r="K91" s="8">
        <v>1</v>
      </c>
      <c r="L91" s="8">
        <v>0</v>
      </c>
      <c r="M91" s="8">
        <v>800</v>
      </c>
    </row>
    <row r="92" spans="1:13" ht="26" x14ac:dyDescent="0.2">
      <c r="A92" s="4">
        <v>53050</v>
      </c>
      <c r="B92" s="5">
        <v>45981.5625</v>
      </c>
      <c r="C92" s="4" t="s">
        <v>86</v>
      </c>
      <c r="D92" s="6" t="s">
        <v>68</v>
      </c>
      <c r="E92" s="6" t="s">
        <v>69</v>
      </c>
      <c r="F92" s="6" t="s">
        <v>29</v>
      </c>
      <c r="G92" s="7" t="s">
        <v>30</v>
      </c>
      <c r="H92" s="19" t="str">
        <f t="shared" si="2"/>
        <v/>
      </c>
      <c r="I92" s="19" t="str">
        <f t="shared" si="3"/>
        <v/>
      </c>
      <c r="J92" s="8">
        <v>-67.5</v>
      </c>
      <c r="K92" s="8">
        <v>1</v>
      </c>
      <c r="L92" s="8">
        <v>0</v>
      </c>
      <c r="M92" s="8">
        <v>-67.5</v>
      </c>
    </row>
    <row r="93" spans="1:13" ht="48" x14ac:dyDescent="0.2">
      <c r="A93" s="4">
        <v>53062</v>
      </c>
      <c r="B93" s="5">
        <v>45981.5625</v>
      </c>
      <c r="C93" s="4" t="s">
        <v>87</v>
      </c>
      <c r="D93" s="6" t="s">
        <v>15</v>
      </c>
      <c r="E93" s="6" t="s">
        <v>36</v>
      </c>
      <c r="F93" s="6" t="s">
        <v>28</v>
      </c>
      <c r="G93" s="7" t="s">
        <v>175</v>
      </c>
      <c r="H93" s="19">
        <f t="shared" si="2"/>
        <v>0.5625</v>
      </c>
      <c r="I93" s="19">
        <f t="shared" si="3"/>
        <v>0.60416666666666663</v>
      </c>
      <c r="J93" s="8">
        <v>1500</v>
      </c>
      <c r="K93" s="8">
        <v>1</v>
      </c>
      <c r="L93" s="8">
        <v>0</v>
      </c>
      <c r="M93" s="8">
        <v>1500</v>
      </c>
    </row>
    <row r="94" spans="1:13" ht="48" x14ac:dyDescent="0.2">
      <c r="A94" s="4">
        <v>53050</v>
      </c>
      <c r="B94" s="5">
        <v>45981.5625</v>
      </c>
      <c r="C94" s="4" t="s">
        <v>86</v>
      </c>
      <c r="D94" s="6" t="s">
        <v>68</v>
      </c>
      <c r="E94" s="6" t="s">
        <v>69</v>
      </c>
      <c r="F94" s="6" t="s">
        <v>28</v>
      </c>
      <c r="G94" s="7" t="s">
        <v>176</v>
      </c>
      <c r="H94" s="19">
        <f t="shared" si="2"/>
        <v>0.5625</v>
      </c>
      <c r="I94" s="19">
        <f t="shared" si="3"/>
        <v>0.58333333333333337</v>
      </c>
      <c r="J94" s="8">
        <v>450</v>
      </c>
      <c r="K94" s="8">
        <v>1</v>
      </c>
      <c r="L94" s="8">
        <v>0</v>
      </c>
      <c r="M94" s="8">
        <v>450</v>
      </c>
    </row>
    <row r="95" spans="1:13" ht="26" x14ac:dyDescent="0.2">
      <c r="A95" s="4">
        <v>53055</v>
      </c>
      <c r="B95" s="5">
        <v>45981.583333333299</v>
      </c>
      <c r="C95" s="4" t="s">
        <v>88</v>
      </c>
      <c r="D95" s="6" t="s">
        <v>15</v>
      </c>
      <c r="E95" s="6" t="s">
        <v>41</v>
      </c>
      <c r="F95" s="6" t="s">
        <v>29</v>
      </c>
      <c r="G95" s="7" t="s">
        <v>30</v>
      </c>
      <c r="H95" s="19" t="str">
        <f t="shared" si="2"/>
        <v/>
      </c>
      <c r="I95" s="19" t="str">
        <f t="shared" si="3"/>
        <v/>
      </c>
      <c r="J95" s="8">
        <v>-52.5</v>
      </c>
      <c r="K95" s="8">
        <v>1</v>
      </c>
      <c r="L95" s="8">
        <v>0</v>
      </c>
      <c r="M95" s="8">
        <v>-52.5</v>
      </c>
    </row>
    <row r="96" spans="1:13" ht="26" x14ac:dyDescent="0.2">
      <c r="A96" s="4">
        <v>53055</v>
      </c>
      <c r="B96" s="5">
        <v>45981.583333333299</v>
      </c>
      <c r="C96" s="4" t="s">
        <v>88</v>
      </c>
      <c r="D96" s="6" t="s">
        <v>15</v>
      </c>
      <c r="E96" s="6" t="s">
        <v>41</v>
      </c>
      <c r="F96" s="6" t="s">
        <v>33</v>
      </c>
      <c r="G96" s="7" t="s">
        <v>51</v>
      </c>
      <c r="H96" s="19" t="str">
        <f t="shared" si="2"/>
        <v/>
      </c>
      <c r="I96" s="19" t="str">
        <f t="shared" si="3"/>
        <v/>
      </c>
      <c r="J96" s="8">
        <v>350</v>
      </c>
      <c r="K96" s="8">
        <v>1</v>
      </c>
      <c r="L96" s="8">
        <v>0</v>
      </c>
      <c r="M96" s="8">
        <v>350</v>
      </c>
    </row>
    <row r="97" spans="1:13" ht="26" x14ac:dyDescent="0.2">
      <c r="A97" s="4">
        <v>53055</v>
      </c>
      <c r="B97" s="5">
        <v>45981.583333333299</v>
      </c>
      <c r="C97" s="4" t="s">
        <v>88</v>
      </c>
      <c r="D97" s="6" t="s">
        <v>15</v>
      </c>
      <c r="E97" s="6" t="s">
        <v>41</v>
      </c>
      <c r="F97" s="6" t="s">
        <v>29</v>
      </c>
      <c r="G97" s="7" t="s">
        <v>30</v>
      </c>
      <c r="H97" s="19" t="str">
        <f t="shared" si="2"/>
        <v/>
      </c>
      <c r="I97" s="19" t="str">
        <f t="shared" si="3"/>
        <v/>
      </c>
      <c r="J97" s="8">
        <v>-82.5</v>
      </c>
      <c r="K97" s="8">
        <v>1</v>
      </c>
      <c r="L97" s="8">
        <v>0</v>
      </c>
      <c r="M97" s="8">
        <v>-82.5</v>
      </c>
    </row>
    <row r="98" spans="1:13" ht="26" x14ac:dyDescent="0.2">
      <c r="A98" s="4">
        <v>53055</v>
      </c>
      <c r="B98" s="5">
        <v>45981.583333333299</v>
      </c>
      <c r="C98" s="4" t="s">
        <v>88</v>
      </c>
      <c r="D98" s="6" t="s">
        <v>15</v>
      </c>
      <c r="E98" s="6" t="s">
        <v>41</v>
      </c>
      <c r="F98" s="6" t="s">
        <v>33</v>
      </c>
      <c r="G98" s="7" t="s">
        <v>34</v>
      </c>
      <c r="H98" s="19" t="str">
        <f t="shared" si="2"/>
        <v/>
      </c>
      <c r="I98" s="19" t="str">
        <f t="shared" si="3"/>
        <v/>
      </c>
      <c r="J98" s="8">
        <v>550</v>
      </c>
      <c r="K98" s="8">
        <v>1</v>
      </c>
      <c r="L98" s="8">
        <v>0</v>
      </c>
      <c r="M98" s="8">
        <v>550</v>
      </c>
    </row>
    <row r="99" spans="1:13" ht="48" x14ac:dyDescent="0.2">
      <c r="A99" s="4">
        <v>53060</v>
      </c>
      <c r="B99" s="5">
        <v>45981.583333333299</v>
      </c>
      <c r="C99" s="4" t="s">
        <v>89</v>
      </c>
      <c r="D99" s="6" t="s">
        <v>26</v>
      </c>
      <c r="E99" s="6" t="s">
        <v>27</v>
      </c>
      <c r="F99" s="6" t="s">
        <v>28</v>
      </c>
      <c r="G99" s="7" t="s">
        <v>177</v>
      </c>
      <c r="H99" s="19">
        <f t="shared" si="2"/>
        <v>0.58333333333333337</v>
      </c>
      <c r="I99" s="19">
        <f t="shared" si="3"/>
        <v>0.625</v>
      </c>
      <c r="J99" s="8">
        <v>1700</v>
      </c>
      <c r="K99" s="8">
        <v>1</v>
      </c>
      <c r="L99" s="8">
        <v>0</v>
      </c>
      <c r="M99" s="8">
        <v>1700</v>
      </c>
    </row>
    <row r="100" spans="1:13" ht="39" x14ac:dyDescent="0.2">
      <c r="A100" s="4">
        <v>53060</v>
      </c>
      <c r="B100" s="5">
        <v>45981.583333333299</v>
      </c>
      <c r="C100" s="4" t="s">
        <v>89</v>
      </c>
      <c r="D100" s="6" t="s">
        <v>26</v>
      </c>
      <c r="E100" s="6" t="s">
        <v>27</v>
      </c>
      <c r="F100" s="6" t="s">
        <v>29</v>
      </c>
      <c r="G100" s="7" t="s">
        <v>30</v>
      </c>
      <c r="H100" s="19" t="str">
        <f t="shared" si="2"/>
        <v/>
      </c>
      <c r="I100" s="19" t="str">
        <f t="shared" si="3"/>
        <v/>
      </c>
      <c r="J100" s="8">
        <v>-255</v>
      </c>
      <c r="K100" s="8">
        <v>1</v>
      </c>
      <c r="L100" s="8">
        <v>0</v>
      </c>
      <c r="M100" s="8">
        <v>-255</v>
      </c>
    </row>
    <row r="101" spans="1:13" ht="39" x14ac:dyDescent="0.2">
      <c r="A101" s="4">
        <v>53060</v>
      </c>
      <c r="B101" s="5">
        <v>45981.583333333299</v>
      </c>
      <c r="C101" s="4" t="s">
        <v>89</v>
      </c>
      <c r="D101" s="6" t="s">
        <v>26</v>
      </c>
      <c r="E101" s="6" t="s">
        <v>27</v>
      </c>
      <c r="F101" s="6" t="s">
        <v>33</v>
      </c>
      <c r="G101" s="7" t="s">
        <v>34</v>
      </c>
      <c r="H101" s="19" t="str">
        <f t="shared" si="2"/>
        <v/>
      </c>
      <c r="I101" s="19" t="str">
        <f t="shared" si="3"/>
        <v/>
      </c>
      <c r="J101" s="8">
        <v>550</v>
      </c>
      <c r="K101" s="8">
        <v>1</v>
      </c>
      <c r="L101" s="8">
        <v>0</v>
      </c>
      <c r="M101" s="8">
        <v>550</v>
      </c>
    </row>
    <row r="102" spans="1:13" ht="39" x14ac:dyDescent="0.2">
      <c r="A102" s="4">
        <v>53060</v>
      </c>
      <c r="B102" s="5">
        <v>45981.583333333299</v>
      </c>
      <c r="C102" s="4" t="s">
        <v>89</v>
      </c>
      <c r="D102" s="6" t="s">
        <v>26</v>
      </c>
      <c r="E102" s="6" t="s">
        <v>27</v>
      </c>
      <c r="F102" s="6" t="s">
        <v>29</v>
      </c>
      <c r="G102" s="7" t="s">
        <v>30</v>
      </c>
      <c r="H102" s="19" t="str">
        <f t="shared" si="2"/>
        <v/>
      </c>
      <c r="I102" s="19" t="str">
        <f t="shared" si="3"/>
        <v/>
      </c>
      <c r="J102" s="8">
        <v>-82.5</v>
      </c>
      <c r="K102" s="8">
        <v>1</v>
      </c>
      <c r="L102" s="8">
        <v>0</v>
      </c>
      <c r="M102" s="8">
        <v>-82.5</v>
      </c>
    </row>
    <row r="103" spans="1:13" ht="26" x14ac:dyDescent="0.2">
      <c r="A103" s="4">
        <v>53055</v>
      </c>
      <c r="B103" s="5">
        <v>45981.583333333299</v>
      </c>
      <c r="C103" s="4" t="s">
        <v>88</v>
      </c>
      <c r="D103" s="6" t="s">
        <v>15</v>
      </c>
      <c r="E103" s="6" t="s">
        <v>41</v>
      </c>
      <c r="F103" s="6" t="s">
        <v>29</v>
      </c>
      <c r="G103" s="7" t="s">
        <v>30</v>
      </c>
      <c r="H103" s="19" t="str">
        <f t="shared" si="2"/>
        <v/>
      </c>
      <c r="I103" s="19" t="str">
        <f t="shared" si="3"/>
        <v/>
      </c>
      <c r="J103" s="8">
        <v>-67.5</v>
      </c>
      <c r="K103" s="8">
        <v>1</v>
      </c>
      <c r="L103" s="8">
        <v>0</v>
      </c>
      <c r="M103" s="8">
        <v>-67.5</v>
      </c>
    </row>
    <row r="104" spans="1:13" ht="48" x14ac:dyDescent="0.2">
      <c r="A104" s="4">
        <v>53055</v>
      </c>
      <c r="B104" s="5">
        <v>45981.583333333299</v>
      </c>
      <c r="C104" s="4" t="s">
        <v>88</v>
      </c>
      <c r="D104" s="6" t="s">
        <v>15</v>
      </c>
      <c r="E104" s="6" t="s">
        <v>41</v>
      </c>
      <c r="F104" s="6" t="s">
        <v>28</v>
      </c>
      <c r="G104" s="7" t="s">
        <v>178</v>
      </c>
      <c r="H104" s="19">
        <f t="shared" si="2"/>
        <v>0.58333333333333337</v>
      </c>
      <c r="I104" s="19">
        <f t="shared" si="3"/>
        <v>0.60416666666666663</v>
      </c>
      <c r="J104" s="8">
        <v>450</v>
      </c>
      <c r="K104" s="8">
        <v>1</v>
      </c>
      <c r="L104" s="8">
        <v>0</v>
      </c>
      <c r="M104" s="8">
        <v>450</v>
      </c>
    </row>
    <row r="105" spans="1:13" ht="48" x14ac:dyDescent="0.2">
      <c r="A105" s="4">
        <v>53059</v>
      </c>
      <c r="B105" s="5">
        <v>45981.583333333299</v>
      </c>
      <c r="C105" s="4" t="s">
        <v>90</v>
      </c>
      <c r="D105" s="6" t="s">
        <v>26</v>
      </c>
      <c r="E105" s="6" t="s">
        <v>46</v>
      </c>
      <c r="F105" s="6" t="s">
        <v>28</v>
      </c>
      <c r="G105" s="7" t="s">
        <v>179</v>
      </c>
      <c r="H105" s="19">
        <f t="shared" si="2"/>
        <v>0.58333333333333337</v>
      </c>
      <c r="I105" s="19">
        <f t="shared" si="3"/>
        <v>0.625</v>
      </c>
      <c r="J105" s="8">
        <v>2600</v>
      </c>
      <c r="K105" s="8">
        <v>1</v>
      </c>
      <c r="L105" s="8">
        <v>0</v>
      </c>
      <c r="M105" s="8">
        <v>2600</v>
      </c>
    </row>
    <row r="106" spans="1:13" ht="26" x14ac:dyDescent="0.2">
      <c r="A106" s="4">
        <v>53058</v>
      </c>
      <c r="B106" s="5">
        <v>45981.583333333299</v>
      </c>
      <c r="C106" s="4" t="s">
        <v>91</v>
      </c>
      <c r="D106" s="6" t="s">
        <v>49</v>
      </c>
      <c r="E106" s="6" t="s">
        <v>50</v>
      </c>
      <c r="F106" s="6" t="s">
        <v>29</v>
      </c>
      <c r="G106" s="7" t="s">
        <v>30</v>
      </c>
      <c r="H106" s="19" t="str">
        <f t="shared" si="2"/>
        <v/>
      </c>
      <c r="I106" s="19" t="str">
        <f t="shared" si="3"/>
        <v/>
      </c>
      <c r="J106" s="8">
        <v>-67.5</v>
      </c>
      <c r="K106" s="8">
        <v>1</v>
      </c>
      <c r="L106" s="8">
        <v>0</v>
      </c>
      <c r="M106" s="8">
        <v>-67.5</v>
      </c>
    </row>
    <row r="107" spans="1:13" ht="26" x14ac:dyDescent="0.2">
      <c r="A107" s="4">
        <v>53058</v>
      </c>
      <c r="B107" s="5">
        <v>45981.583333333299</v>
      </c>
      <c r="C107" s="4" t="s">
        <v>91</v>
      </c>
      <c r="D107" s="6" t="s">
        <v>49</v>
      </c>
      <c r="E107" s="6" t="s">
        <v>50</v>
      </c>
      <c r="F107" s="6" t="s">
        <v>33</v>
      </c>
      <c r="G107" s="7" t="s">
        <v>92</v>
      </c>
      <c r="H107" s="19" t="str">
        <f t="shared" si="2"/>
        <v/>
      </c>
      <c r="I107" s="19" t="str">
        <f t="shared" si="3"/>
        <v/>
      </c>
      <c r="J107" s="8">
        <v>450</v>
      </c>
      <c r="K107" s="8">
        <v>1</v>
      </c>
      <c r="L107" s="8">
        <v>0</v>
      </c>
      <c r="M107" s="8">
        <v>450</v>
      </c>
    </row>
    <row r="108" spans="1:13" ht="26" x14ac:dyDescent="0.2">
      <c r="A108" s="4">
        <v>53058</v>
      </c>
      <c r="B108" s="5">
        <v>45981.583333333299</v>
      </c>
      <c r="C108" s="4" t="s">
        <v>91</v>
      </c>
      <c r="D108" s="6" t="s">
        <v>49</v>
      </c>
      <c r="E108" s="6" t="s">
        <v>50</v>
      </c>
      <c r="F108" s="6" t="s">
        <v>29</v>
      </c>
      <c r="G108" s="7" t="s">
        <v>30</v>
      </c>
      <c r="H108" s="19" t="str">
        <f t="shared" si="2"/>
        <v/>
      </c>
      <c r="I108" s="19" t="str">
        <f t="shared" si="3"/>
        <v/>
      </c>
      <c r="J108" s="8">
        <v>-75</v>
      </c>
      <c r="K108" s="8">
        <v>1</v>
      </c>
      <c r="L108" s="8">
        <v>0</v>
      </c>
      <c r="M108" s="8">
        <v>-75</v>
      </c>
    </row>
    <row r="109" spans="1:13" ht="48" x14ac:dyDescent="0.2">
      <c r="A109" s="4">
        <v>53058</v>
      </c>
      <c r="B109" s="5">
        <v>45981.583333333299</v>
      </c>
      <c r="C109" s="4" t="s">
        <v>91</v>
      </c>
      <c r="D109" s="6" t="s">
        <v>49</v>
      </c>
      <c r="E109" s="6" t="s">
        <v>50</v>
      </c>
      <c r="F109" s="6" t="s">
        <v>28</v>
      </c>
      <c r="G109" s="7" t="s">
        <v>180</v>
      </c>
      <c r="H109" s="19">
        <f t="shared" si="2"/>
        <v>0.58333333333333337</v>
      </c>
      <c r="I109" s="19">
        <f t="shared" si="3"/>
        <v>0.625</v>
      </c>
      <c r="J109" s="8">
        <v>500</v>
      </c>
      <c r="K109" s="8">
        <v>1</v>
      </c>
      <c r="L109" s="8">
        <v>0</v>
      </c>
      <c r="M109" s="8">
        <v>500</v>
      </c>
    </row>
    <row r="110" spans="1:13" ht="48" x14ac:dyDescent="0.2">
      <c r="A110" s="4">
        <v>53056</v>
      </c>
      <c r="B110" s="5">
        <v>45981.604166666701</v>
      </c>
      <c r="C110" s="4" t="s">
        <v>93</v>
      </c>
      <c r="D110" s="6" t="s">
        <v>26</v>
      </c>
      <c r="E110" s="6" t="s">
        <v>32</v>
      </c>
      <c r="F110" s="6" t="s">
        <v>28</v>
      </c>
      <c r="G110" s="7" t="s">
        <v>181</v>
      </c>
      <c r="H110" s="19">
        <f t="shared" si="2"/>
        <v>0.60416666666666663</v>
      </c>
      <c r="I110" s="19">
        <f t="shared" si="3"/>
        <v>0.625</v>
      </c>
      <c r="J110" s="8">
        <v>450</v>
      </c>
      <c r="K110" s="8">
        <v>1</v>
      </c>
      <c r="L110" s="8">
        <v>0</v>
      </c>
      <c r="M110" s="8">
        <v>450</v>
      </c>
    </row>
    <row r="111" spans="1:13" ht="39" x14ac:dyDescent="0.2">
      <c r="A111" s="4">
        <v>53061</v>
      </c>
      <c r="B111" s="5">
        <v>45981.625</v>
      </c>
      <c r="C111" s="4" t="s">
        <v>94</v>
      </c>
      <c r="D111" s="6" t="s">
        <v>15</v>
      </c>
      <c r="E111" s="6" t="s">
        <v>95</v>
      </c>
      <c r="F111" s="6" t="s">
        <v>29</v>
      </c>
      <c r="G111" s="7" t="s">
        <v>30</v>
      </c>
      <c r="H111" s="19" t="str">
        <f t="shared" si="2"/>
        <v/>
      </c>
      <c r="I111" s="19" t="str">
        <f t="shared" si="3"/>
        <v/>
      </c>
      <c r="J111" s="8">
        <v>-52.5</v>
      </c>
      <c r="K111" s="8">
        <v>1</v>
      </c>
      <c r="L111" s="8">
        <v>0</v>
      </c>
      <c r="M111" s="8">
        <v>-52.5</v>
      </c>
    </row>
    <row r="112" spans="1:13" ht="48" x14ac:dyDescent="0.2">
      <c r="A112" s="4">
        <v>53061</v>
      </c>
      <c r="B112" s="5">
        <v>45981.625</v>
      </c>
      <c r="C112" s="4" t="s">
        <v>94</v>
      </c>
      <c r="D112" s="6" t="s">
        <v>15</v>
      </c>
      <c r="E112" s="6" t="s">
        <v>95</v>
      </c>
      <c r="F112" s="6" t="s">
        <v>28</v>
      </c>
      <c r="G112" s="7" t="s">
        <v>182</v>
      </c>
      <c r="H112" s="19">
        <f t="shared" si="2"/>
        <v>0.625</v>
      </c>
      <c r="I112" s="19">
        <f t="shared" si="3"/>
        <v>0.64583333333333337</v>
      </c>
      <c r="J112" s="8">
        <v>350</v>
      </c>
      <c r="K112" s="8">
        <v>1</v>
      </c>
      <c r="L112" s="8">
        <v>0</v>
      </c>
      <c r="M112" s="8">
        <v>350</v>
      </c>
    </row>
    <row r="113" spans="1:13" ht="48" x14ac:dyDescent="0.2">
      <c r="A113" s="4">
        <v>53063</v>
      </c>
      <c r="B113" s="5">
        <v>45981.625</v>
      </c>
      <c r="C113" s="4" t="s">
        <v>87</v>
      </c>
      <c r="D113" s="6" t="s">
        <v>15</v>
      </c>
      <c r="E113" s="6" t="s">
        <v>43</v>
      </c>
      <c r="F113" s="6" t="s">
        <v>28</v>
      </c>
      <c r="G113" s="7" t="s">
        <v>183</v>
      </c>
      <c r="H113" s="19">
        <f t="shared" si="2"/>
        <v>0.625</v>
      </c>
      <c r="I113" s="19">
        <f t="shared" si="3"/>
        <v>0.66666666666666663</v>
      </c>
      <c r="J113" s="8">
        <v>1800</v>
      </c>
      <c r="K113" s="8">
        <v>1</v>
      </c>
      <c r="L113" s="8">
        <v>0</v>
      </c>
      <c r="M113" s="8">
        <v>1800</v>
      </c>
    </row>
    <row r="114" spans="1:13" ht="48" x14ac:dyDescent="0.2">
      <c r="A114" s="4">
        <v>53064</v>
      </c>
      <c r="B114" s="5">
        <v>45981.645833333299</v>
      </c>
      <c r="C114" s="4" t="s">
        <v>96</v>
      </c>
      <c r="D114" s="6" t="s">
        <v>68</v>
      </c>
      <c r="E114" s="6" t="s">
        <v>97</v>
      </c>
      <c r="F114" s="6" t="s">
        <v>28</v>
      </c>
      <c r="G114" s="7" t="s">
        <v>184</v>
      </c>
      <c r="H114" s="19">
        <f t="shared" si="2"/>
        <v>0.64583333333333337</v>
      </c>
      <c r="I114" s="19">
        <f t="shared" si="3"/>
        <v>0.66666666666666663</v>
      </c>
      <c r="J114" s="8">
        <v>550</v>
      </c>
      <c r="K114" s="8">
        <v>1</v>
      </c>
      <c r="L114" s="8">
        <v>0</v>
      </c>
      <c r="M114" s="8">
        <v>550</v>
      </c>
    </row>
    <row r="115" spans="1:13" ht="26" x14ac:dyDescent="0.2">
      <c r="A115" s="4">
        <v>53064</v>
      </c>
      <c r="B115" s="5">
        <v>45981.645833333299</v>
      </c>
      <c r="C115" s="4" t="s">
        <v>96</v>
      </c>
      <c r="D115" s="6" t="s">
        <v>68</v>
      </c>
      <c r="E115" s="6" t="s">
        <v>97</v>
      </c>
      <c r="F115" s="6" t="s">
        <v>29</v>
      </c>
      <c r="G115" s="7" t="s">
        <v>30</v>
      </c>
      <c r="H115" s="19" t="str">
        <f t="shared" si="2"/>
        <v/>
      </c>
      <c r="I115" s="19" t="str">
        <f t="shared" si="3"/>
        <v/>
      </c>
      <c r="J115" s="8">
        <v>-82.5</v>
      </c>
      <c r="K115" s="8">
        <v>1</v>
      </c>
      <c r="L115" s="8">
        <v>0</v>
      </c>
      <c r="M115" s="8">
        <v>-82.5</v>
      </c>
    </row>
    <row r="116" spans="1:13" ht="48" x14ac:dyDescent="0.2">
      <c r="A116" s="4">
        <v>53065</v>
      </c>
      <c r="B116" s="5">
        <v>45981.645833333299</v>
      </c>
      <c r="C116" s="4" t="s">
        <v>98</v>
      </c>
      <c r="D116" s="6" t="s">
        <v>68</v>
      </c>
      <c r="E116" s="6" t="s">
        <v>99</v>
      </c>
      <c r="F116" s="6" t="s">
        <v>28</v>
      </c>
      <c r="G116" s="7" t="s">
        <v>185</v>
      </c>
      <c r="H116" s="19">
        <f t="shared" si="2"/>
        <v>0.64583333333333337</v>
      </c>
      <c r="I116" s="19">
        <f t="shared" si="3"/>
        <v>0.66666666666666663</v>
      </c>
      <c r="J116" s="8">
        <v>550</v>
      </c>
      <c r="K116" s="8">
        <v>1</v>
      </c>
      <c r="L116" s="8">
        <v>0</v>
      </c>
      <c r="M116" s="8">
        <v>550</v>
      </c>
    </row>
    <row r="117" spans="1:13" ht="26" x14ac:dyDescent="0.2">
      <c r="A117" s="4">
        <v>53065</v>
      </c>
      <c r="B117" s="5">
        <v>45981.645833333299</v>
      </c>
      <c r="C117" s="4" t="s">
        <v>98</v>
      </c>
      <c r="D117" s="6" t="s">
        <v>68</v>
      </c>
      <c r="E117" s="6" t="s">
        <v>99</v>
      </c>
      <c r="F117" s="6" t="s">
        <v>29</v>
      </c>
      <c r="G117" s="7" t="s">
        <v>30</v>
      </c>
      <c r="H117" s="19" t="str">
        <f t="shared" si="2"/>
        <v/>
      </c>
      <c r="I117" s="19" t="str">
        <f t="shared" si="3"/>
        <v/>
      </c>
      <c r="J117" s="8">
        <v>-82.5</v>
      </c>
      <c r="K117" s="8">
        <v>1</v>
      </c>
      <c r="L117" s="8">
        <v>0</v>
      </c>
      <c r="M117" s="8">
        <v>-82.5</v>
      </c>
    </row>
    <row r="118" spans="1:13" ht="26" x14ac:dyDescent="0.2">
      <c r="A118" s="4">
        <v>53069</v>
      </c>
      <c r="B118" s="5">
        <v>45981.645833333299</v>
      </c>
      <c r="C118" s="4" t="s">
        <v>100</v>
      </c>
      <c r="D118" s="6" t="s">
        <v>26</v>
      </c>
      <c r="E118" s="6" t="s">
        <v>101</v>
      </c>
      <c r="F118" s="6" t="s">
        <v>33</v>
      </c>
      <c r="G118" s="7" t="s">
        <v>102</v>
      </c>
      <c r="H118" s="19" t="str">
        <f t="shared" si="2"/>
        <v/>
      </c>
      <c r="I118" s="19" t="str">
        <f t="shared" si="3"/>
        <v/>
      </c>
      <c r="J118" s="8">
        <v>350</v>
      </c>
      <c r="K118" s="8">
        <v>1</v>
      </c>
      <c r="L118" s="8">
        <v>0</v>
      </c>
      <c r="M118" s="8">
        <v>350</v>
      </c>
    </row>
    <row r="119" spans="1:13" ht="26" x14ac:dyDescent="0.2">
      <c r="A119" s="4">
        <v>53069</v>
      </c>
      <c r="B119" s="5">
        <v>45981.645833333299</v>
      </c>
      <c r="C119" s="4" t="s">
        <v>100</v>
      </c>
      <c r="D119" s="6" t="s">
        <v>26</v>
      </c>
      <c r="E119" s="6" t="s">
        <v>101</v>
      </c>
      <c r="F119" s="6" t="s">
        <v>33</v>
      </c>
      <c r="G119" s="7" t="s">
        <v>37</v>
      </c>
      <c r="H119" s="19" t="str">
        <f t="shared" si="2"/>
        <v/>
      </c>
      <c r="I119" s="19" t="str">
        <f t="shared" si="3"/>
        <v/>
      </c>
      <c r="J119" s="8">
        <v>450</v>
      </c>
      <c r="K119" s="8">
        <v>1</v>
      </c>
      <c r="L119" s="8">
        <v>0</v>
      </c>
      <c r="M119" s="8">
        <v>450</v>
      </c>
    </row>
    <row r="120" spans="1:13" ht="26" x14ac:dyDescent="0.2">
      <c r="A120" s="4">
        <v>53069</v>
      </c>
      <c r="B120" s="5">
        <v>45981.645833333299</v>
      </c>
      <c r="C120" s="4" t="s">
        <v>100</v>
      </c>
      <c r="D120" s="6" t="s">
        <v>26</v>
      </c>
      <c r="E120" s="6" t="s">
        <v>101</v>
      </c>
      <c r="F120" s="6" t="s">
        <v>33</v>
      </c>
      <c r="G120" s="7" t="s">
        <v>34</v>
      </c>
      <c r="H120" s="19" t="str">
        <f t="shared" si="2"/>
        <v/>
      </c>
      <c r="I120" s="19" t="str">
        <f t="shared" si="3"/>
        <v/>
      </c>
      <c r="J120" s="8">
        <v>550</v>
      </c>
      <c r="K120" s="8">
        <v>1</v>
      </c>
      <c r="L120" s="8">
        <v>0</v>
      </c>
      <c r="M120" s="8">
        <v>550</v>
      </c>
    </row>
    <row r="121" spans="1:13" ht="48" x14ac:dyDescent="0.2">
      <c r="A121" s="4">
        <v>53069</v>
      </c>
      <c r="B121" s="5">
        <v>45981.645833333299</v>
      </c>
      <c r="C121" s="4" t="s">
        <v>100</v>
      </c>
      <c r="D121" s="6" t="s">
        <v>26</v>
      </c>
      <c r="E121" s="6" t="s">
        <v>101</v>
      </c>
      <c r="F121" s="6" t="s">
        <v>28</v>
      </c>
      <c r="G121" s="7" t="s">
        <v>186</v>
      </c>
      <c r="H121" s="19">
        <f t="shared" si="2"/>
        <v>0.64583333333333337</v>
      </c>
      <c r="I121" s="19">
        <f t="shared" si="3"/>
        <v>0.6875</v>
      </c>
      <c r="J121" s="8">
        <v>1700</v>
      </c>
      <c r="K121" s="8">
        <v>1</v>
      </c>
      <c r="L121" s="8">
        <v>0</v>
      </c>
      <c r="M121" s="8">
        <v>1700</v>
      </c>
    </row>
    <row r="122" spans="1:13" ht="48" x14ac:dyDescent="0.2">
      <c r="A122" s="4">
        <v>53075</v>
      </c>
      <c r="B122" s="5">
        <v>45981.666666666701</v>
      </c>
      <c r="C122" s="4" t="s">
        <v>103</v>
      </c>
      <c r="D122" s="6" t="s">
        <v>68</v>
      </c>
      <c r="E122" s="6" t="s">
        <v>99</v>
      </c>
      <c r="F122" s="6" t="s">
        <v>28</v>
      </c>
      <c r="G122" s="7" t="s">
        <v>187</v>
      </c>
      <c r="H122" s="19">
        <f t="shared" si="2"/>
        <v>0.66666666666666663</v>
      </c>
      <c r="I122" s="19">
        <f t="shared" si="3"/>
        <v>0.70833333333333337</v>
      </c>
      <c r="J122" s="8">
        <v>1700</v>
      </c>
      <c r="K122" s="8">
        <v>1</v>
      </c>
      <c r="L122" s="8">
        <v>0</v>
      </c>
      <c r="M122" s="8">
        <v>1700</v>
      </c>
    </row>
    <row r="123" spans="1:13" ht="26" x14ac:dyDescent="0.2">
      <c r="A123" s="4">
        <v>53075</v>
      </c>
      <c r="B123" s="5">
        <v>45981.666666666701</v>
      </c>
      <c r="C123" s="4" t="s">
        <v>103</v>
      </c>
      <c r="D123" s="6" t="s">
        <v>68</v>
      </c>
      <c r="E123" s="6" t="s">
        <v>99</v>
      </c>
      <c r="F123" s="6" t="s">
        <v>29</v>
      </c>
      <c r="G123" s="7" t="s">
        <v>30</v>
      </c>
      <c r="H123" s="19" t="str">
        <f t="shared" si="2"/>
        <v/>
      </c>
      <c r="I123" s="19" t="str">
        <f t="shared" si="3"/>
        <v/>
      </c>
      <c r="J123" s="8">
        <v>-255</v>
      </c>
      <c r="K123" s="8">
        <v>1</v>
      </c>
      <c r="L123" s="8">
        <v>0</v>
      </c>
      <c r="M123" s="8">
        <v>-255</v>
      </c>
    </row>
    <row r="124" spans="1:13" ht="26" x14ac:dyDescent="0.2">
      <c r="A124" s="4">
        <v>53075</v>
      </c>
      <c r="B124" s="5">
        <v>45981.666666666701</v>
      </c>
      <c r="C124" s="4" t="s">
        <v>103</v>
      </c>
      <c r="D124" s="6" t="s">
        <v>68</v>
      </c>
      <c r="E124" s="6" t="s">
        <v>99</v>
      </c>
      <c r="F124" s="6" t="s">
        <v>33</v>
      </c>
      <c r="G124" s="7" t="s">
        <v>51</v>
      </c>
      <c r="H124" s="19" t="str">
        <f t="shared" si="2"/>
        <v/>
      </c>
      <c r="I124" s="19" t="str">
        <f t="shared" si="3"/>
        <v/>
      </c>
      <c r="J124" s="8">
        <v>350</v>
      </c>
      <c r="K124" s="8">
        <v>1</v>
      </c>
      <c r="L124" s="8">
        <v>0</v>
      </c>
      <c r="M124" s="8">
        <v>350</v>
      </c>
    </row>
    <row r="125" spans="1:13" ht="26" x14ac:dyDescent="0.2">
      <c r="A125" s="4">
        <v>53075</v>
      </c>
      <c r="B125" s="5">
        <v>45981.666666666701</v>
      </c>
      <c r="C125" s="4" t="s">
        <v>103</v>
      </c>
      <c r="D125" s="6" t="s">
        <v>68</v>
      </c>
      <c r="E125" s="6" t="s">
        <v>99</v>
      </c>
      <c r="F125" s="6" t="s">
        <v>29</v>
      </c>
      <c r="G125" s="7" t="s">
        <v>30</v>
      </c>
      <c r="H125" s="19" t="str">
        <f t="shared" si="2"/>
        <v/>
      </c>
      <c r="I125" s="19" t="str">
        <f t="shared" si="3"/>
        <v/>
      </c>
      <c r="J125" s="8">
        <v>-52.5</v>
      </c>
      <c r="K125" s="8">
        <v>1</v>
      </c>
      <c r="L125" s="8">
        <v>0</v>
      </c>
      <c r="M125" s="8">
        <v>-52.5</v>
      </c>
    </row>
    <row r="126" spans="1:13" ht="26" x14ac:dyDescent="0.2">
      <c r="A126" s="4">
        <v>53075</v>
      </c>
      <c r="B126" s="5">
        <v>45981.666666666701</v>
      </c>
      <c r="C126" s="4" t="s">
        <v>103</v>
      </c>
      <c r="D126" s="6" t="s">
        <v>68</v>
      </c>
      <c r="E126" s="6" t="s">
        <v>99</v>
      </c>
      <c r="F126" s="6" t="s">
        <v>33</v>
      </c>
      <c r="G126" s="7" t="s">
        <v>37</v>
      </c>
      <c r="H126" s="19" t="str">
        <f t="shared" si="2"/>
        <v/>
      </c>
      <c r="I126" s="19" t="str">
        <f t="shared" si="3"/>
        <v/>
      </c>
      <c r="J126" s="8">
        <v>450</v>
      </c>
      <c r="K126" s="8">
        <v>1</v>
      </c>
      <c r="L126" s="8">
        <v>0</v>
      </c>
      <c r="M126" s="8">
        <v>450</v>
      </c>
    </row>
    <row r="127" spans="1:13" ht="26" x14ac:dyDescent="0.2">
      <c r="A127" s="4">
        <v>53075</v>
      </c>
      <c r="B127" s="5">
        <v>45981.666666666701</v>
      </c>
      <c r="C127" s="4" t="s">
        <v>103</v>
      </c>
      <c r="D127" s="6" t="s">
        <v>68</v>
      </c>
      <c r="E127" s="6" t="s">
        <v>99</v>
      </c>
      <c r="F127" s="6" t="s">
        <v>29</v>
      </c>
      <c r="G127" s="7" t="s">
        <v>30</v>
      </c>
      <c r="H127" s="19" t="str">
        <f t="shared" si="2"/>
        <v/>
      </c>
      <c r="I127" s="19" t="str">
        <f t="shared" si="3"/>
        <v/>
      </c>
      <c r="J127" s="8">
        <v>-67.5</v>
      </c>
      <c r="K127" s="8">
        <v>1</v>
      </c>
      <c r="L127" s="8">
        <v>0</v>
      </c>
      <c r="M127" s="8">
        <v>-67.5</v>
      </c>
    </row>
    <row r="128" spans="1:13" ht="48" x14ac:dyDescent="0.2">
      <c r="A128" s="4">
        <v>53076</v>
      </c>
      <c r="B128" s="5">
        <v>45981.666666666701</v>
      </c>
      <c r="C128" s="4" t="s">
        <v>104</v>
      </c>
      <c r="D128" s="6" t="s">
        <v>26</v>
      </c>
      <c r="E128" s="6" t="s">
        <v>46</v>
      </c>
      <c r="F128" s="6" t="s">
        <v>28</v>
      </c>
      <c r="G128" s="7" t="s">
        <v>188</v>
      </c>
      <c r="H128" s="19">
        <f t="shared" si="2"/>
        <v>0.66666666666666663</v>
      </c>
      <c r="I128" s="19">
        <f t="shared" si="3"/>
        <v>0.69791666666666663</v>
      </c>
      <c r="J128" s="8">
        <v>1600</v>
      </c>
      <c r="K128" s="8">
        <v>1</v>
      </c>
      <c r="L128" s="8">
        <v>0</v>
      </c>
      <c r="M128" s="8">
        <v>1600</v>
      </c>
    </row>
    <row r="129" spans="1:13" x14ac:dyDescent="0.2">
      <c r="A129" s="4">
        <v>53073</v>
      </c>
      <c r="B129" s="5">
        <v>45981.666666666701</v>
      </c>
      <c r="C129" s="4" t="s">
        <v>105</v>
      </c>
      <c r="D129" s="6" t="s">
        <v>49</v>
      </c>
      <c r="E129" s="6" t="s">
        <v>54</v>
      </c>
      <c r="F129" s="6" t="s">
        <v>29</v>
      </c>
      <c r="G129" s="7" t="s">
        <v>30</v>
      </c>
      <c r="H129" s="19" t="str">
        <f t="shared" si="2"/>
        <v/>
      </c>
      <c r="I129" s="19" t="str">
        <f t="shared" si="3"/>
        <v/>
      </c>
      <c r="J129" s="8">
        <v>-52.5</v>
      </c>
      <c r="K129" s="8">
        <v>1</v>
      </c>
      <c r="L129" s="8">
        <v>0</v>
      </c>
      <c r="M129" s="8">
        <v>-52.5</v>
      </c>
    </row>
    <row r="130" spans="1:13" x14ac:dyDescent="0.2">
      <c r="A130" s="4">
        <v>53073</v>
      </c>
      <c r="B130" s="5">
        <v>45981.666666666701</v>
      </c>
      <c r="C130" s="4" t="s">
        <v>105</v>
      </c>
      <c r="D130" s="6" t="s">
        <v>49</v>
      </c>
      <c r="E130" s="6" t="s">
        <v>54</v>
      </c>
      <c r="F130" s="6" t="s">
        <v>33</v>
      </c>
      <c r="G130" s="7" t="s">
        <v>51</v>
      </c>
      <c r="H130" s="19" t="str">
        <f t="shared" si="2"/>
        <v/>
      </c>
      <c r="I130" s="19" t="str">
        <f t="shared" si="3"/>
        <v/>
      </c>
      <c r="J130" s="8">
        <v>350</v>
      </c>
      <c r="K130" s="8">
        <v>1</v>
      </c>
      <c r="L130" s="8">
        <v>0</v>
      </c>
      <c r="M130" s="8">
        <v>350</v>
      </c>
    </row>
    <row r="131" spans="1:13" x14ac:dyDescent="0.2">
      <c r="A131" s="4">
        <v>53073</v>
      </c>
      <c r="B131" s="5">
        <v>45981.666666666701</v>
      </c>
      <c r="C131" s="4" t="s">
        <v>105</v>
      </c>
      <c r="D131" s="6" t="s">
        <v>49</v>
      </c>
      <c r="E131" s="6" t="s">
        <v>54</v>
      </c>
      <c r="F131" s="6" t="s">
        <v>29</v>
      </c>
      <c r="G131" s="7" t="s">
        <v>30</v>
      </c>
      <c r="H131" s="19" t="str">
        <f t="shared" si="2"/>
        <v/>
      </c>
      <c r="I131" s="19" t="str">
        <f t="shared" si="3"/>
        <v/>
      </c>
      <c r="J131" s="8">
        <v>-82.5</v>
      </c>
      <c r="K131" s="8">
        <v>1</v>
      </c>
      <c r="L131" s="8">
        <v>0</v>
      </c>
      <c r="M131" s="8">
        <v>-82.5</v>
      </c>
    </row>
    <row r="132" spans="1:13" ht="48" x14ac:dyDescent="0.2">
      <c r="A132" s="4">
        <v>53076</v>
      </c>
      <c r="B132" s="5">
        <v>45981.666666666701</v>
      </c>
      <c r="C132" s="4" t="s">
        <v>104</v>
      </c>
      <c r="D132" s="6" t="s">
        <v>26</v>
      </c>
      <c r="E132" s="6" t="s">
        <v>46</v>
      </c>
      <c r="F132" s="6" t="s">
        <v>28</v>
      </c>
      <c r="G132" s="7" t="s">
        <v>189</v>
      </c>
      <c r="H132" s="19">
        <f t="shared" si="2"/>
        <v>0.69791666666666663</v>
      </c>
      <c r="I132" s="19">
        <f t="shared" si="3"/>
        <v>0.70833333333333337</v>
      </c>
      <c r="J132" s="8">
        <v>0</v>
      </c>
      <c r="K132" s="8">
        <v>1</v>
      </c>
      <c r="L132" s="8">
        <v>0</v>
      </c>
      <c r="M132" s="8">
        <v>0</v>
      </c>
    </row>
    <row r="133" spans="1:13" ht="48" x14ac:dyDescent="0.2">
      <c r="A133" s="4">
        <v>53074</v>
      </c>
      <c r="B133" s="5">
        <v>45981.666666666701</v>
      </c>
      <c r="C133" s="4" t="s">
        <v>106</v>
      </c>
      <c r="D133" s="6" t="s">
        <v>26</v>
      </c>
      <c r="E133" s="6" t="s">
        <v>39</v>
      </c>
      <c r="F133" s="6" t="s">
        <v>28</v>
      </c>
      <c r="G133" s="7" t="s">
        <v>190</v>
      </c>
      <c r="H133" s="19">
        <f t="shared" si="2"/>
        <v>0.66666666666666663</v>
      </c>
      <c r="I133" s="19">
        <f t="shared" si="3"/>
        <v>0.70833333333333337</v>
      </c>
      <c r="J133" s="8">
        <v>2600</v>
      </c>
      <c r="K133" s="8">
        <v>1</v>
      </c>
      <c r="L133" s="8">
        <v>0</v>
      </c>
      <c r="M133" s="8">
        <v>2600</v>
      </c>
    </row>
    <row r="134" spans="1:13" ht="48" x14ac:dyDescent="0.2">
      <c r="A134" s="4">
        <v>53066</v>
      </c>
      <c r="B134" s="5">
        <v>45981.666666666701</v>
      </c>
      <c r="C134" s="4" t="s">
        <v>107</v>
      </c>
      <c r="D134" s="6" t="s">
        <v>26</v>
      </c>
      <c r="E134" s="6" t="s">
        <v>57</v>
      </c>
      <c r="F134" s="6" t="s">
        <v>28</v>
      </c>
      <c r="G134" s="7" t="s">
        <v>191</v>
      </c>
      <c r="H134" s="19">
        <f t="shared" si="2"/>
        <v>0.66666666666666663</v>
      </c>
      <c r="I134" s="19">
        <f t="shared" si="3"/>
        <v>0.6875</v>
      </c>
      <c r="J134" s="8">
        <v>500</v>
      </c>
      <c r="K134" s="8">
        <v>1</v>
      </c>
      <c r="L134" s="8">
        <v>0</v>
      </c>
      <c r="M134" s="8">
        <v>500</v>
      </c>
    </row>
    <row r="135" spans="1:13" ht="48" x14ac:dyDescent="0.2">
      <c r="A135" s="4">
        <v>53070</v>
      </c>
      <c r="B135" s="5">
        <v>45981.666666666701</v>
      </c>
      <c r="C135" s="4" t="s">
        <v>108</v>
      </c>
      <c r="D135" s="6" t="s">
        <v>15</v>
      </c>
      <c r="E135" s="6" t="s">
        <v>43</v>
      </c>
      <c r="F135" s="6" t="s">
        <v>28</v>
      </c>
      <c r="G135" s="7" t="s">
        <v>192</v>
      </c>
      <c r="H135" s="19">
        <f t="shared" si="2"/>
        <v>0.66666666666666663</v>
      </c>
      <c r="I135" s="19">
        <f t="shared" si="3"/>
        <v>0.70833333333333337</v>
      </c>
      <c r="J135" s="8">
        <v>850</v>
      </c>
      <c r="K135" s="8">
        <v>1</v>
      </c>
      <c r="L135" s="8">
        <v>0</v>
      </c>
      <c r="M135" s="8">
        <v>850</v>
      </c>
    </row>
    <row r="136" spans="1:13" ht="26" x14ac:dyDescent="0.2">
      <c r="A136" s="4">
        <v>53070</v>
      </c>
      <c r="B136" s="5">
        <v>45981.666666666701</v>
      </c>
      <c r="C136" s="4" t="s">
        <v>108</v>
      </c>
      <c r="D136" s="6" t="s">
        <v>15</v>
      </c>
      <c r="E136" s="6" t="s">
        <v>43</v>
      </c>
      <c r="F136" s="6" t="s">
        <v>29</v>
      </c>
      <c r="G136" s="7" t="s">
        <v>30</v>
      </c>
      <c r="H136" s="19" t="str">
        <f t="shared" si="2"/>
        <v/>
      </c>
      <c r="I136" s="19" t="str">
        <f t="shared" si="3"/>
        <v/>
      </c>
      <c r="J136" s="8">
        <v>-127.5</v>
      </c>
      <c r="K136" s="8">
        <v>1</v>
      </c>
      <c r="L136" s="8">
        <v>0</v>
      </c>
      <c r="M136" s="8">
        <v>-127.5</v>
      </c>
    </row>
    <row r="137" spans="1:13" ht="26" x14ac:dyDescent="0.2">
      <c r="A137" s="4">
        <v>53070</v>
      </c>
      <c r="B137" s="5">
        <v>45981.666666666701</v>
      </c>
      <c r="C137" s="4" t="s">
        <v>108</v>
      </c>
      <c r="D137" s="6" t="s">
        <v>15</v>
      </c>
      <c r="E137" s="6" t="s">
        <v>43</v>
      </c>
      <c r="F137" s="6" t="s">
        <v>33</v>
      </c>
      <c r="G137" s="7" t="s">
        <v>37</v>
      </c>
      <c r="H137" s="19" t="str">
        <f t="shared" ref="H137:H195" si="4">IFERROR(VALUE(MID(G137,FIND(":",G137)-2,10)),"")</f>
        <v/>
      </c>
      <c r="I137" s="19" t="str">
        <f t="shared" ref="I137:I195" si="5">IFERROR(TIMEVALUE(MID(G137,FIND(" to ",G137)+4,10)),"")</f>
        <v/>
      </c>
      <c r="J137" s="8">
        <v>450</v>
      </c>
      <c r="K137" s="8">
        <v>1</v>
      </c>
      <c r="L137" s="8">
        <v>0</v>
      </c>
      <c r="M137" s="8">
        <v>450</v>
      </c>
    </row>
    <row r="138" spans="1:13" ht="26" x14ac:dyDescent="0.2">
      <c r="A138" s="4">
        <v>53070</v>
      </c>
      <c r="B138" s="5">
        <v>45981.666666666701</v>
      </c>
      <c r="C138" s="4" t="s">
        <v>108</v>
      </c>
      <c r="D138" s="6" t="s">
        <v>15</v>
      </c>
      <c r="E138" s="6" t="s">
        <v>43</v>
      </c>
      <c r="F138" s="6" t="s">
        <v>29</v>
      </c>
      <c r="G138" s="7" t="s">
        <v>30</v>
      </c>
      <c r="H138" s="19" t="str">
        <f t="shared" si="4"/>
        <v/>
      </c>
      <c r="I138" s="19" t="str">
        <f t="shared" si="5"/>
        <v/>
      </c>
      <c r="J138" s="8">
        <v>-67.5</v>
      </c>
      <c r="K138" s="8">
        <v>1</v>
      </c>
      <c r="L138" s="8">
        <v>0</v>
      </c>
      <c r="M138" s="8">
        <v>-67.5</v>
      </c>
    </row>
    <row r="139" spans="1:13" ht="26" x14ac:dyDescent="0.2">
      <c r="A139" s="4">
        <v>53070</v>
      </c>
      <c r="B139" s="5">
        <v>45981.666666666701</v>
      </c>
      <c r="C139" s="4" t="s">
        <v>108</v>
      </c>
      <c r="D139" s="6" t="s">
        <v>15</v>
      </c>
      <c r="E139" s="6" t="s">
        <v>43</v>
      </c>
      <c r="F139" s="6" t="s">
        <v>33</v>
      </c>
      <c r="G139" s="7" t="s">
        <v>34</v>
      </c>
      <c r="H139" s="19" t="str">
        <f t="shared" si="4"/>
        <v/>
      </c>
      <c r="I139" s="19" t="str">
        <f t="shared" si="5"/>
        <v/>
      </c>
      <c r="J139" s="8">
        <v>550</v>
      </c>
      <c r="K139" s="8">
        <v>1</v>
      </c>
      <c r="L139" s="8">
        <v>0</v>
      </c>
      <c r="M139" s="8">
        <v>550</v>
      </c>
    </row>
    <row r="140" spans="1:13" ht="26" x14ac:dyDescent="0.2">
      <c r="A140" s="4">
        <v>53070</v>
      </c>
      <c r="B140" s="5">
        <v>45981.666666666701</v>
      </c>
      <c r="C140" s="4" t="s">
        <v>108</v>
      </c>
      <c r="D140" s="6" t="s">
        <v>15</v>
      </c>
      <c r="E140" s="6" t="s">
        <v>43</v>
      </c>
      <c r="F140" s="6" t="s">
        <v>29</v>
      </c>
      <c r="G140" s="7" t="s">
        <v>30</v>
      </c>
      <c r="H140" s="19" t="str">
        <f t="shared" si="4"/>
        <v/>
      </c>
      <c r="I140" s="19" t="str">
        <f t="shared" si="5"/>
        <v/>
      </c>
      <c r="J140" s="8">
        <v>-82.5</v>
      </c>
      <c r="K140" s="8">
        <v>1</v>
      </c>
      <c r="L140" s="8">
        <v>0</v>
      </c>
      <c r="M140" s="8">
        <v>-82.5</v>
      </c>
    </row>
    <row r="141" spans="1:13" ht="48" x14ac:dyDescent="0.2">
      <c r="A141" s="4">
        <v>53073</v>
      </c>
      <c r="B141" s="5">
        <v>45981.666666666701</v>
      </c>
      <c r="C141" s="4" t="s">
        <v>105</v>
      </c>
      <c r="D141" s="6" t="s">
        <v>49</v>
      </c>
      <c r="E141" s="6" t="s">
        <v>54</v>
      </c>
      <c r="F141" s="6" t="s">
        <v>28</v>
      </c>
      <c r="G141" s="7" t="s">
        <v>193</v>
      </c>
      <c r="H141" s="19">
        <f t="shared" si="4"/>
        <v>0.66666666666666663</v>
      </c>
      <c r="I141" s="19">
        <f t="shared" si="5"/>
        <v>0.70833333333333337</v>
      </c>
      <c r="J141" s="8">
        <v>550</v>
      </c>
      <c r="K141" s="8">
        <v>1</v>
      </c>
      <c r="L141" s="8">
        <v>0</v>
      </c>
      <c r="M141" s="8">
        <v>550</v>
      </c>
    </row>
    <row r="142" spans="1:13" ht="48" x14ac:dyDescent="0.2">
      <c r="A142" s="4">
        <v>53067</v>
      </c>
      <c r="B142" s="5">
        <v>45981.666666666701</v>
      </c>
      <c r="C142" s="4" t="s">
        <v>109</v>
      </c>
      <c r="D142" s="6" t="s">
        <v>68</v>
      </c>
      <c r="E142" s="6" t="s">
        <v>97</v>
      </c>
      <c r="F142" s="6" t="s">
        <v>28</v>
      </c>
      <c r="G142" s="7" t="s">
        <v>194</v>
      </c>
      <c r="H142" s="19">
        <f t="shared" si="4"/>
        <v>0.66666666666666663</v>
      </c>
      <c r="I142" s="19">
        <f t="shared" si="5"/>
        <v>0.70833333333333337</v>
      </c>
      <c r="J142" s="8">
        <v>850</v>
      </c>
      <c r="K142" s="8">
        <v>1</v>
      </c>
      <c r="L142" s="8">
        <v>0</v>
      </c>
      <c r="M142" s="8">
        <v>850</v>
      </c>
    </row>
    <row r="143" spans="1:13" ht="26" x14ac:dyDescent="0.2">
      <c r="A143" s="4">
        <v>53067</v>
      </c>
      <c r="B143" s="5">
        <v>45981.666666666701</v>
      </c>
      <c r="C143" s="4" t="s">
        <v>109</v>
      </c>
      <c r="D143" s="6" t="s">
        <v>68</v>
      </c>
      <c r="E143" s="6" t="s">
        <v>97</v>
      </c>
      <c r="F143" s="6" t="s">
        <v>29</v>
      </c>
      <c r="G143" s="7" t="s">
        <v>30</v>
      </c>
      <c r="H143" s="19" t="str">
        <f t="shared" si="4"/>
        <v/>
      </c>
      <c r="I143" s="19" t="str">
        <f t="shared" si="5"/>
        <v/>
      </c>
      <c r="J143" s="8">
        <v>-127.5</v>
      </c>
      <c r="K143" s="8">
        <v>1</v>
      </c>
      <c r="L143" s="8">
        <v>0</v>
      </c>
      <c r="M143" s="8">
        <v>-127.5</v>
      </c>
    </row>
    <row r="144" spans="1:13" ht="26" x14ac:dyDescent="0.2">
      <c r="A144" s="4">
        <v>53067</v>
      </c>
      <c r="B144" s="5">
        <v>45981.666666666701</v>
      </c>
      <c r="C144" s="4" t="s">
        <v>109</v>
      </c>
      <c r="D144" s="6" t="s">
        <v>68</v>
      </c>
      <c r="E144" s="6" t="s">
        <v>97</v>
      </c>
      <c r="F144" s="6" t="s">
        <v>29</v>
      </c>
      <c r="G144" s="7" t="s">
        <v>30</v>
      </c>
      <c r="H144" s="19" t="str">
        <f t="shared" si="4"/>
        <v/>
      </c>
      <c r="I144" s="19" t="str">
        <f t="shared" si="5"/>
        <v/>
      </c>
      <c r="J144" s="8">
        <v>-75</v>
      </c>
      <c r="K144" s="8">
        <v>1</v>
      </c>
      <c r="L144" s="8">
        <v>0</v>
      </c>
      <c r="M144" s="8">
        <v>-75</v>
      </c>
    </row>
    <row r="145" spans="1:13" ht="26" x14ac:dyDescent="0.2">
      <c r="A145" s="4">
        <v>53067</v>
      </c>
      <c r="B145" s="5">
        <v>45981.666666666701</v>
      </c>
      <c r="C145" s="4" t="s">
        <v>109</v>
      </c>
      <c r="D145" s="6" t="s">
        <v>68</v>
      </c>
      <c r="E145" s="6" t="s">
        <v>97</v>
      </c>
      <c r="F145" s="6" t="s">
        <v>33</v>
      </c>
      <c r="G145" s="7" t="s">
        <v>47</v>
      </c>
      <c r="H145" s="19" t="str">
        <f t="shared" si="4"/>
        <v/>
      </c>
      <c r="I145" s="19" t="str">
        <f t="shared" si="5"/>
        <v/>
      </c>
      <c r="J145" s="8">
        <v>500</v>
      </c>
      <c r="K145" s="8">
        <v>1</v>
      </c>
      <c r="L145" s="8">
        <v>0</v>
      </c>
      <c r="M145" s="8">
        <v>500</v>
      </c>
    </row>
    <row r="146" spans="1:13" ht="48" x14ac:dyDescent="0.2">
      <c r="A146" s="4">
        <v>53098</v>
      </c>
      <c r="B146" s="5">
        <v>45981.6875</v>
      </c>
      <c r="C146" s="4" t="s">
        <v>110</v>
      </c>
      <c r="D146" s="6" t="s">
        <v>15</v>
      </c>
      <c r="E146" s="6" t="s">
        <v>16</v>
      </c>
      <c r="F146" s="6" t="s">
        <v>28</v>
      </c>
      <c r="G146" s="7" t="s">
        <v>195</v>
      </c>
      <c r="H146" s="19">
        <f t="shared" si="4"/>
        <v>0.6875</v>
      </c>
      <c r="I146" s="19">
        <f t="shared" si="5"/>
        <v>0.70833333333333337</v>
      </c>
      <c r="J146" s="8">
        <v>0</v>
      </c>
      <c r="K146" s="8">
        <v>1</v>
      </c>
      <c r="L146" s="8">
        <v>0</v>
      </c>
      <c r="M146" s="8">
        <v>0</v>
      </c>
    </row>
    <row r="147" spans="1:13" ht="48" x14ac:dyDescent="0.2">
      <c r="A147" s="4">
        <v>53077</v>
      </c>
      <c r="B147" s="5">
        <v>45981.708333333299</v>
      </c>
      <c r="C147" s="4" t="s">
        <v>111</v>
      </c>
      <c r="D147" s="6" t="s">
        <v>26</v>
      </c>
      <c r="E147" s="6" t="s">
        <v>57</v>
      </c>
      <c r="F147" s="6" t="s">
        <v>28</v>
      </c>
      <c r="G147" s="7" t="s">
        <v>196</v>
      </c>
      <c r="H147" s="19">
        <f t="shared" si="4"/>
        <v>0.70833333333333337</v>
      </c>
      <c r="I147" s="19">
        <f t="shared" si="5"/>
        <v>0.72916666666666663</v>
      </c>
      <c r="J147" s="8">
        <v>550</v>
      </c>
      <c r="K147" s="8">
        <v>1</v>
      </c>
      <c r="L147" s="8">
        <v>0</v>
      </c>
      <c r="M147" s="8">
        <v>550</v>
      </c>
    </row>
    <row r="148" spans="1:13" ht="39" x14ac:dyDescent="0.2">
      <c r="A148" s="4">
        <v>53078</v>
      </c>
      <c r="B148" s="5">
        <v>45981.708333333299</v>
      </c>
      <c r="C148" s="4" t="s">
        <v>112</v>
      </c>
      <c r="D148" s="6" t="s">
        <v>15</v>
      </c>
      <c r="E148" s="6" t="s">
        <v>95</v>
      </c>
      <c r="F148" s="6" t="s">
        <v>29</v>
      </c>
      <c r="G148" s="7" t="s">
        <v>30</v>
      </c>
      <c r="H148" s="19" t="str">
        <f t="shared" si="4"/>
        <v/>
      </c>
      <c r="I148" s="19" t="str">
        <f t="shared" si="5"/>
        <v/>
      </c>
      <c r="J148" s="8">
        <v>-75</v>
      </c>
      <c r="K148" s="8">
        <v>1</v>
      </c>
      <c r="L148" s="8">
        <v>0</v>
      </c>
      <c r="M148" s="8">
        <v>-75</v>
      </c>
    </row>
    <row r="149" spans="1:13" ht="48" x14ac:dyDescent="0.2">
      <c r="A149" s="4">
        <v>53080</v>
      </c>
      <c r="B149" s="5">
        <v>45981.708333333299</v>
      </c>
      <c r="C149" s="4" t="s">
        <v>113</v>
      </c>
      <c r="D149" s="6" t="s">
        <v>26</v>
      </c>
      <c r="E149" s="6" t="s">
        <v>101</v>
      </c>
      <c r="F149" s="6" t="s">
        <v>28</v>
      </c>
      <c r="G149" s="7" t="s">
        <v>197</v>
      </c>
      <c r="H149" s="19">
        <f t="shared" si="4"/>
        <v>0.70833333333333337</v>
      </c>
      <c r="I149" s="19">
        <f t="shared" si="5"/>
        <v>0.72916666666666663</v>
      </c>
      <c r="J149" s="8">
        <v>500</v>
      </c>
      <c r="K149" s="8">
        <v>1</v>
      </c>
      <c r="L149" s="8">
        <v>0</v>
      </c>
      <c r="M149" s="8">
        <v>500</v>
      </c>
    </row>
    <row r="150" spans="1:13" ht="48" x14ac:dyDescent="0.2">
      <c r="A150" s="4">
        <v>53088</v>
      </c>
      <c r="B150" s="5">
        <v>45981.708333333299</v>
      </c>
      <c r="C150" s="4" t="s">
        <v>114</v>
      </c>
      <c r="D150" s="6" t="s">
        <v>49</v>
      </c>
      <c r="E150" s="6" t="s">
        <v>54</v>
      </c>
      <c r="F150" s="6" t="s">
        <v>28</v>
      </c>
      <c r="G150" s="7" t="s">
        <v>198</v>
      </c>
      <c r="H150" s="19">
        <f t="shared" si="4"/>
        <v>0.70833333333333337</v>
      </c>
      <c r="I150" s="19">
        <f t="shared" si="5"/>
        <v>0.75</v>
      </c>
      <c r="J150" s="8">
        <v>850</v>
      </c>
      <c r="K150" s="8">
        <v>1</v>
      </c>
      <c r="L150" s="8">
        <v>0</v>
      </c>
      <c r="M150" s="8">
        <v>850</v>
      </c>
    </row>
    <row r="151" spans="1:13" ht="26" x14ac:dyDescent="0.2">
      <c r="A151" s="4">
        <v>53088</v>
      </c>
      <c r="B151" s="5">
        <v>45981.708333333299</v>
      </c>
      <c r="C151" s="4" t="s">
        <v>114</v>
      </c>
      <c r="D151" s="6" t="s">
        <v>49</v>
      </c>
      <c r="E151" s="6" t="s">
        <v>54</v>
      </c>
      <c r="F151" s="6" t="s">
        <v>33</v>
      </c>
      <c r="G151" s="7" t="s">
        <v>34</v>
      </c>
      <c r="H151" s="19" t="str">
        <f t="shared" si="4"/>
        <v/>
      </c>
      <c r="I151" s="19" t="str">
        <f t="shared" si="5"/>
        <v/>
      </c>
      <c r="J151" s="8">
        <v>550</v>
      </c>
      <c r="K151" s="8">
        <v>1</v>
      </c>
      <c r="L151" s="8">
        <v>0</v>
      </c>
      <c r="M151" s="8">
        <v>550</v>
      </c>
    </row>
    <row r="152" spans="1:13" ht="26" x14ac:dyDescent="0.2">
      <c r="A152" s="4">
        <v>53088</v>
      </c>
      <c r="B152" s="5">
        <v>45981.708333333299</v>
      </c>
      <c r="C152" s="4" t="s">
        <v>114</v>
      </c>
      <c r="D152" s="6" t="s">
        <v>49</v>
      </c>
      <c r="E152" s="6" t="s">
        <v>54</v>
      </c>
      <c r="F152" s="6" t="s">
        <v>33</v>
      </c>
      <c r="G152" s="7" t="s">
        <v>66</v>
      </c>
      <c r="H152" s="19" t="str">
        <f t="shared" si="4"/>
        <v/>
      </c>
      <c r="I152" s="19" t="str">
        <f t="shared" si="5"/>
        <v/>
      </c>
      <c r="J152" s="8">
        <v>350</v>
      </c>
      <c r="K152" s="8">
        <v>1</v>
      </c>
      <c r="L152" s="8">
        <v>0</v>
      </c>
      <c r="M152" s="8">
        <v>350</v>
      </c>
    </row>
    <row r="153" spans="1:13" ht="26" x14ac:dyDescent="0.2">
      <c r="A153" s="4">
        <v>53088</v>
      </c>
      <c r="B153" s="5">
        <v>45981.708333333299</v>
      </c>
      <c r="C153" s="4" t="s">
        <v>114</v>
      </c>
      <c r="D153" s="6" t="s">
        <v>49</v>
      </c>
      <c r="E153" s="6" t="s">
        <v>54</v>
      </c>
      <c r="F153" s="6" t="s">
        <v>33</v>
      </c>
      <c r="G153" s="7" t="s">
        <v>51</v>
      </c>
      <c r="H153" s="19" t="str">
        <f t="shared" si="4"/>
        <v/>
      </c>
      <c r="I153" s="19" t="str">
        <f t="shared" si="5"/>
        <v/>
      </c>
      <c r="J153" s="8">
        <v>350</v>
      </c>
      <c r="K153" s="8">
        <v>1</v>
      </c>
      <c r="L153" s="8">
        <v>0</v>
      </c>
      <c r="M153" s="8">
        <v>350</v>
      </c>
    </row>
    <row r="154" spans="1:13" ht="48" x14ac:dyDescent="0.2">
      <c r="A154" s="4">
        <v>53078</v>
      </c>
      <c r="B154" s="5">
        <v>45981.708333333299</v>
      </c>
      <c r="C154" s="4" t="s">
        <v>112</v>
      </c>
      <c r="D154" s="6" t="s">
        <v>15</v>
      </c>
      <c r="E154" s="6" t="s">
        <v>95</v>
      </c>
      <c r="F154" s="6" t="s">
        <v>28</v>
      </c>
      <c r="G154" s="7" t="s">
        <v>199</v>
      </c>
      <c r="H154" s="19">
        <f t="shared" si="4"/>
        <v>0.70833333333333337</v>
      </c>
      <c r="I154" s="19">
        <f t="shared" si="5"/>
        <v>0.72916666666666663</v>
      </c>
      <c r="J154" s="8">
        <v>500</v>
      </c>
      <c r="K154" s="8">
        <v>1</v>
      </c>
      <c r="L154" s="8">
        <v>0</v>
      </c>
      <c r="M154" s="8">
        <v>500</v>
      </c>
    </row>
    <row r="155" spans="1:13" ht="26" x14ac:dyDescent="0.2">
      <c r="A155" s="4">
        <v>53079</v>
      </c>
      <c r="B155" s="5">
        <v>45981.708333333299</v>
      </c>
      <c r="C155" s="4" t="s">
        <v>115</v>
      </c>
      <c r="D155" s="6" t="s">
        <v>49</v>
      </c>
      <c r="E155" s="6" t="s">
        <v>116</v>
      </c>
      <c r="F155" s="6" t="s">
        <v>33</v>
      </c>
      <c r="G155" s="7" t="s">
        <v>37</v>
      </c>
      <c r="H155" s="19" t="str">
        <f t="shared" si="4"/>
        <v/>
      </c>
      <c r="I155" s="19" t="str">
        <f t="shared" si="5"/>
        <v/>
      </c>
      <c r="J155" s="8">
        <v>450</v>
      </c>
      <c r="K155" s="8">
        <v>1</v>
      </c>
      <c r="L155" s="8">
        <v>0</v>
      </c>
      <c r="M155" s="8">
        <v>450</v>
      </c>
    </row>
    <row r="156" spans="1:13" ht="48" x14ac:dyDescent="0.2">
      <c r="A156" s="4">
        <v>53079</v>
      </c>
      <c r="B156" s="5">
        <v>45981.708333333299</v>
      </c>
      <c r="C156" s="4" t="s">
        <v>115</v>
      </c>
      <c r="D156" s="6" t="s">
        <v>49</v>
      </c>
      <c r="E156" s="6" t="s">
        <v>116</v>
      </c>
      <c r="F156" s="6" t="s">
        <v>28</v>
      </c>
      <c r="G156" s="7" t="s">
        <v>200</v>
      </c>
      <c r="H156" s="19">
        <f t="shared" si="4"/>
        <v>0.70833333333333337</v>
      </c>
      <c r="I156" s="19">
        <f t="shared" si="5"/>
        <v>0.72916666666666663</v>
      </c>
      <c r="J156" s="8">
        <v>500</v>
      </c>
      <c r="K156" s="8">
        <v>1</v>
      </c>
      <c r="L156" s="8">
        <v>0</v>
      </c>
      <c r="M156" s="8">
        <v>500</v>
      </c>
    </row>
    <row r="157" spans="1:13" ht="48" x14ac:dyDescent="0.2">
      <c r="A157" s="4">
        <v>53084</v>
      </c>
      <c r="B157" s="5">
        <v>45981.708333333299</v>
      </c>
      <c r="C157" s="4" t="s">
        <v>117</v>
      </c>
      <c r="D157" s="6" t="s">
        <v>26</v>
      </c>
      <c r="E157" s="6" t="s">
        <v>39</v>
      </c>
      <c r="F157" s="6" t="s">
        <v>28</v>
      </c>
      <c r="G157" s="7" t="s">
        <v>201</v>
      </c>
      <c r="H157" s="19">
        <f t="shared" si="4"/>
        <v>0.70833333333333337</v>
      </c>
      <c r="I157" s="19">
        <f t="shared" si="5"/>
        <v>0.75</v>
      </c>
      <c r="J157" s="8">
        <v>1600</v>
      </c>
      <c r="K157" s="8">
        <v>1</v>
      </c>
      <c r="L157" s="8">
        <v>0</v>
      </c>
      <c r="M157" s="8">
        <v>1600</v>
      </c>
    </row>
    <row r="158" spans="1:13" ht="26" x14ac:dyDescent="0.2">
      <c r="A158" s="4">
        <v>53084</v>
      </c>
      <c r="B158" s="5">
        <v>45981.708333333299</v>
      </c>
      <c r="C158" s="4" t="s">
        <v>117</v>
      </c>
      <c r="D158" s="6" t="s">
        <v>26</v>
      </c>
      <c r="E158" s="6" t="s">
        <v>39</v>
      </c>
      <c r="F158" s="6" t="s">
        <v>29</v>
      </c>
      <c r="G158" s="7" t="s">
        <v>30</v>
      </c>
      <c r="H158" s="19" t="str">
        <f t="shared" si="4"/>
        <v/>
      </c>
      <c r="I158" s="19" t="str">
        <f t="shared" si="5"/>
        <v/>
      </c>
      <c r="J158" s="8">
        <v>-600</v>
      </c>
      <c r="K158" s="8">
        <v>1</v>
      </c>
      <c r="L158" s="8">
        <v>0</v>
      </c>
      <c r="M158" s="8">
        <v>-600</v>
      </c>
    </row>
    <row r="159" spans="1:13" ht="48" x14ac:dyDescent="0.2">
      <c r="A159" s="4">
        <v>53083</v>
      </c>
      <c r="B159" s="5">
        <v>45981.729166666701</v>
      </c>
      <c r="C159" s="4" t="s">
        <v>118</v>
      </c>
      <c r="D159" s="6" t="s">
        <v>26</v>
      </c>
      <c r="E159" s="6" t="s">
        <v>101</v>
      </c>
      <c r="F159" s="6" t="s">
        <v>28</v>
      </c>
      <c r="G159" s="7" t="s">
        <v>202</v>
      </c>
      <c r="H159" s="19">
        <f t="shared" si="4"/>
        <v>0.72916666666666663</v>
      </c>
      <c r="I159" s="19">
        <f t="shared" si="5"/>
        <v>0.75</v>
      </c>
      <c r="J159" s="8">
        <v>350</v>
      </c>
      <c r="K159" s="8">
        <v>1</v>
      </c>
      <c r="L159" s="8">
        <v>0</v>
      </c>
      <c r="M159" s="8">
        <v>350</v>
      </c>
    </row>
    <row r="160" spans="1:13" ht="48" x14ac:dyDescent="0.2">
      <c r="A160" s="4">
        <v>53095</v>
      </c>
      <c r="B160" s="5">
        <v>45981.729166666701</v>
      </c>
      <c r="C160" s="4" t="s">
        <v>19</v>
      </c>
      <c r="D160" s="6" t="s">
        <v>15</v>
      </c>
      <c r="E160" s="6" t="s">
        <v>16</v>
      </c>
      <c r="F160" s="6" t="s">
        <v>28</v>
      </c>
      <c r="G160" s="7" t="s">
        <v>203</v>
      </c>
      <c r="H160" s="19">
        <f t="shared" si="4"/>
        <v>0.72916666666666663</v>
      </c>
      <c r="I160" s="19">
        <f t="shared" si="5"/>
        <v>0.75</v>
      </c>
      <c r="J160" s="8">
        <v>0</v>
      </c>
      <c r="K160" s="8">
        <v>1</v>
      </c>
      <c r="L160" s="8">
        <v>0</v>
      </c>
      <c r="M160" s="8">
        <v>0</v>
      </c>
    </row>
    <row r="161" spans="1:13" ht="48" x14ac:dyDescent="0.2">
      <c r="A161" s="4">
        <v>53087</v>
      </c>
      <c r="B161" s="5">
        <v>45981.729166666701</v>
      </c>
      <c r="C161" s="4" t="s">
        <v>119</v>
      </c>
      <c r="D161" s="6" t="s">
        <v>15</v>
      </c>
      <c r="E161" s="6" t="s">
        <v>95</v>
      </c>
      <c r="F161" s="6" t="s">
        <v>28</v>
      </c>
      <c r="G161" s="7" t="s">
        <v>204</v>
      </c>
      <c r="H161" s="19">
        <f t="shared" si="4"/>
        <v>0.72916666666666663</v>
      </c>
      <c r="I161" s="19">
        <f t="shared" si="5"/>
        <v>0.75</v>
      </c>
      <c r="J161" s="8">
        <v>500</v>
      </c>
      <c r="K161" s="8">
        <v>1</v>
      </c>
      <c r="L161" s="8">
        <v>0</v>
      </c>
      <c r="M161" s="8">
        <v>500</v>
      </c>
    </row>
    <row r="162" spans="1:13" ht="26" x14ac:dyDescent="0.2">
      <c r="A162" s="4">
        <v>53087</v>
      </c>
      <c r="B162" s="5">
        <v>45981.729166666701</v>
      </c>
      <c r="C162" s="4" t="s">
        <v>119</v>
      </c>
      <c r="D162" s="6" t="s">
        <v>15</v>
      </c>
      <c r="E162" s="6" t="s">
        <v>95</v>
      </c>
      <c r="F162" s="6" t="s">
        <v>29</v>
      </c>
      <c r="G162" s="7" t="s">
        <v>30</v>
      </c>
      <c r="H162" s="19" t="str">
        <f t="shared" si="4"/>
        <v/>
      </c>
      <c r="I162" s="19" t="str">
        <f t="shared" si="5"/>
        <v/>
      </c>
      <c r="J162" s="8">
        <v>-75</v>
      </c>
      <c r="K162" s="8">
        <v>1</v>
      </c>
      <c r="L162" s="8">
        <v>0</v>
      </c>
      <c r="M162" s="8">
        <v>-75</v>
      </c>
    </row>
    <row r="163" spans="1:13" ht="26" x14ac:dyDescent="0.2">
      <c r="A163" s="4">
        <v>53087</v>
      </c>
      <c r="B163" s="5">
        <v>45981.729166666701</v>
      </c>
      <c r="C163" s="4" t="s">
        <v>119</v>
      </c>
      <c r="D163" s="6" t="s">
        <v>15</v>
      </c>
      <c r="E163" s="6" t="s">
        <v>95</v>
      </c>
      <c r="F163" s="6" t="s">
        <v>33</v>
      </c>
      <c r="G163" s="7" t="s">
        <v>37</v>
      </c>
      <c r="H163" s="19" t="str">
        <f t="shared" si="4"/>
        <v/>
      </c>
      <c r="I163" s="19" t="str">
        <f t="shared" si="5"/>
        <v/>
      </c>
      <c r="J163" s="8">
        <v>450</v>
      </c>
      <c r="K163" s="8">
        <v>1</v>
      </c>
      <c r="L163" s="8">
        <v>0</v>
      </c>
      <c r="M163" s="8">
        <v>450</v>
      </c>
    </row>
    <row r="164" spans="1:13" ht="26" x14ac:dyDescent="0.2">
      <c r="A164" s="4">
        <v>53087</v>
      </c>
      <c r="B164" s="5">
        <v>45981.729166666701</v>
      </c>
      <c r="C164" s="4" t="s">
        <v>119</v>
      </c>
      <c r="D164" s="6" t="s">
        <v>15</v>
      </c>
      <c r="E164" s="6" t="s">
        <v>95</v>
      </c>
      <c r="F164" s="6" t="s">
        <v>29</v>
      </c>
      <c r="G164" s="7" t="s">
        <v>30</v>
      </c>
      <c r="H164" s="19" t="str">
        <f t="shared" si="4"/>
        <v/>
      </c>
      <c r="I164" s="19" t="str">
        <f t="shared" si="5"/>
        <v/>
      </c>
      <c r="J164" s="8">
        <v>-67.5</v>
      </c>
      <c r="K164" s="8">
        <v>1</v>
      </c>
      <c r="L164" s="8">
        <v>0</v>
      </c>
      <c r="M164" s="8">
        <v>-67.5</v>
      </c>
    </row>
    <row r="165" spans="1:13" ht="48" x14ac:dyDescent="0.2">
      <c r="A165" s="4">
        <v>53085</v>
      </c>
      <c r="B165" s="5">
        <v>45981.729166666701</v>
      </c>
      <c r="C165" s="4" t="s">
        <v>120</v>
      </c>
      <c r="D165" s="6" t="s">
        <v>26</v>
      </c>
      <c r="E165" s="6" t="s">
        <v>121</v>
      </c>
      <c r="F165" s="6" t="s">
        <v>28</v>
      </c>
      <c r="G165" s="7" t="s">
        <v>205</v>
      </c>
      <c r="H165" s="19">
        <f t="shared" si="4"/>
        <v>0.72916666666666663</v>
      </c>
      <c r="I165" s="19">
        <f t="shared" si="5"/>
        <v>0.75</v>
      </c>
      <c r="J165" s="8">
        <v>600</v>
      </c>
      <c r="K165" s="8">
        <v>1</v>
      </c>
      <c r="L165" s="8">
        <v>0</v>
      </c>
      <c r="M165" s="8">
        <v>600</v>
      </c>
    </row>
    <row r="166" spans="1:13" ht="48" x14ac:dyDescent="0.2">
      <c r="A166" s="4">
        <v>53081</v>
      </c>
      <c r="B166" s="5">
        <v>45981.729166666701</v>
      </c>
      <c r="C166" s="4" t="s">
        <v>122</v>
      </c>
      <c r="D166" s="6" t="s">
        <v>26</v>
      </c>
      <c r="E166" s="6" t="s">
        <v>57</v>
      </c>
      <c r="F166" s="6" t="s">
        <v>28</v>
      </c>
      <c r="G166" s="7" t="s">
        <v>206</v>
      </c>
      <c r="H166" s="19">
        <f t="shared" si="4"/>
        <v>0.72916666666666663</v>
      </c>
      <c r="I166" s="19">
        <f t="shared" si="5"/>
        <v>0.75</v>
      </c>
      <c r="J166" s="8">
        <v>450</v>
      </c>
      <c r="K166" s="8">
        <v>1</v>
      </c>
      <c r="L166" s="8">
        <v>0</v>
      </c>
      <c r="M166" s="8">
        <v>450</v>
      </c>
    </row>
    <row r="167" spans="1:13" x14ac:dyDescent="0.2">
      <c r="A167" s="4">
        <v>53099</v>
      </c>
      <c r="B167" s="5">
        <v>45981.75</v>
      </c>
      <c r="C167" s="4" t="s">
        <v>123</v>
      </c>
      <c r="D167" s="6" t="s">
        <v>49</v>
      </c>
      <c r="E167" s="6" t="s">
        <v>54</v>
      </c>
      <c r="F167" s="6" t="s">
        <v>29</v>
      </c>
      <c r="G167" s="7" t="s">
        <v>30</v>
      </c>
      <c r="H167" s="19" t="str">
        <f t="shared" si="4"/>
        <v/>
      </c>
      <c r="I167" s="19" t="str">
        <f t="shared" si="5"/>
        <v/>
      </c>
      <c r="J167" s="8">
        <v>-82.5</v>
      </c>
      <c r="K167" s="8">
        <v>1</v>
      </c>
      <c r="L167" s="8">
        <v>0</v>
      </c>
      <c r="M167" s="8">
        <v>-82.5</v>
      </c>
    </row>
    <row r="168" spans="1:13" ht="48" x14ac:dyDescent="0.2">
      <c r="A168" s="4">
        <v>53099</v>
      </c>
      <c r="B168" s="5">
        <v>45981.75</v>
      </c>
      <c r="C168" s="4" t="s">
        <v>123</v>
      </c>
      <c r="D168" s="6" t="s">
        <v>49</v>
      </c>
      <c r="E168" s="6" t="s">
        <v>54</v>
      </c>
      <c r="F168" s="6" t="s">
        <v>28</v>
      </c>
      <c r="G168" s="7" t="s">
        <v>207</v>
      </c>
      <c r="H168" s="19">
        <f t="shared" si="4"/>
        <v>0.75</v>
      </c>
      <c r="I168" s="19">
        <f t="shared" si="5"/>
        <v>0.79166666666666663</v>
      </c>
      <c r="J168" s="8">
        <v>550</v>
      </c>
      <c r="K168" s="8">
        <v>1</v>
      </c>
      <c r="L168" s="8">
        <v>0</v>
      </c>
      <c r="M168" s="8">
        <v>550</v>
      </c>
    </row>
    <row r="169" spans="1:13" ht="26" x14ac:dyDescent="0.2">
      <c r="A169" s="4">
        <v>53091</v>
      </c>
      <c r="B169" s="5">
        <v>45981.75</v>
      </c>
      <c r="C169" s="4" t="s">
        <v>124</v>
      </c>
      <c r="D169" s="6" t="s">
        <v>26</v>
      </c>
      <c r="E169" s="6" t="s">
        <v>57</v>
      </c>
      <c r="F169" s="6" t="s">
        <v>33</v>
      </c>
      <c r="G169" s="7" t="s">
        <v>37</v>
      </c>
      <c r="H169" s="19" t="str">
        <f t="shared" si="4"/>
        <v/>
      </c>
      <c r="I169" s="19" t="str">
        <f t="shared" si="5"/>
        <v/>
      </c>
      <c r="J169" s="8">
        <v>450</v>
      </c>
      <c r="K169" s="8">
        <v>1</v>
      </c>
      <c r="L169" s="8">
        <v>0</v>
      </c>
      <c r="M169" s="8">
        <v>450</v>
      </c>
    </row>
    <row r="170" spans="1:13" ht="48" x14ac:dyDescent="0.2">
      <c r="A170" s="4">
        <v>53091</v>
      </c>
      <c r="B170" s="5">
        <v>45981.75</v>
      </c>
      <c r="C170" s="4" t="s">
        <v>124</v>
      </c>
      <c r="D170" s="6" t="s">
        <v>26</v>
      </c>
      <c r="E170" s="6" t="s">
        <v>57</v>
      </c>
      <c r="F170" s="6" t="s">
        <v>28</v>
      </c>
      <c r="G170" s="7" t="s">
        <v>208</v>
      </c>
      <c r="H170" s="19">
        <f t="shared" si="4"/>
        <v>0.75</v>
      </c>
      <c r="I170" s="19">
        <f t="shared" si="5"/>
        <v>0.79166666666666663</v>
      </c>
      <c r="J170" s="8">
        <v>850</v>
      </c>
      <c r="K170" s="8">
        <v>1</v>
      </c>
      <c r="L170" s="8">
        <v>0</v>
      </c>
      <c r="M170" s="8">
        <v>850</v>
      </c>
    </row>
    <row r="171" spans="1:13" ht="26" x14ac:dyDescent="0.2">
      <c r="A171" s="4">
        <v>53100</v>
      </c>
      <c r="B171" s="5">
        <v>45981.75</v>
      </c>
      <c r="C171" s="4" t="s">
        <v>125</v>
      </c>
      <c r="D171" s="6" t="s">
        <v>15</v>
      </c>
      <c r="E171" s="6" t="s">
        <v>16</v>
      </c>
      <c r="F171" s="6" t="s">
        <v>29</v>
      </c>
      <c r="G171" s="7" t="s">
        <v>30</v>
      </c>
      <c r="H171" s="19" t="str">
        <f t="shared" si="4"/>
        <v/>
      </c>
      <c r="I171" s="19" t="str">
        <f t="shared" si="5"/>
        <v/>
      </c>
      <c r="J171" s="8">
        <v>-52.5</v>
      </c>
      <c r="K171" s="8">
        <v>1</v>
      </c>
      <c r="L171" s="8">
        <v>0</v>
      </c>
      <c r="M171" s="8">
        <v>-52.5</v>
      </c>
    </row>
    <row r="172" spans="1:13" ht="26" x14ac:dyDescent="0.2">
      <c r="A172" s="4">
        <v>53100</v>
      </c>
      <c r="B172" s="5">
        <v>45981.75</v>
      </c>
      <c r="C172" s="4" t="s">
        <v>125</v>
      </c>
      <c r="D172" s="6" t="s">
        <v>15</v>
      </c>
      <c r="E172" s="6" t="s">
        <v>16</v>
      </c>
      <c r="F172" s="6" t="s">
        <v>33</v>
      </c>
      <c r="G172" s="7" t="s">
        <v>126</v>
      </c>
      <c r="H172" s="19" t="str">
        <f t="shared" si="4"/>
        <v/>
      </c>
      <c r="I172" s="19" t="str">
        <f t="shared" si="5"/>
        <v/>
      </c>
      <c r="J172" s="8">
        <v>350</v>
      </c>
      <c r="K172" s="8">
        <v>1</v>
      </c>
      <c r="L172" s="8">
        <v>0</v>
      </c>
      <c r="M172" s="8">
        <v>350</v>
      </c>
    </row>
    <row r="173" spans="1:13" ht="26" x14ac:dyDescent="0.2">
      <c r="A173" s="4">
        <v>53100</v>
      </c>
      <c r="B173" s="5">
        <v>45981.75</v>
      </c>
      <c r="C173" s="4" t="s">
        <v>125</v>
      </c>
      <c r="D173" s="6" t="s">
        <v>15</v>
      </c>
      <c r="E173" s="6" t="s">
        <v>16</v>
      </c>
      <c r="F173" s="6" t="s">
        <v>29</v>
      </c>
      <c r="G173" s="7" t="s">
        <v>30</v>
      </c>
      <c r="H173" s="19" t="str">
        <f t="shared" si="4"/>
        <v/>
      </c>
      <c r="I173" s="19" t="str">
        <f t="shared" si="5"/>
        <v/>
      </c>
      <c r="J173" s="8">
        <v>-82.5</v>
      </c>
      <c r="K173" s="8">
        <v>1</v>
      </c>
      <c r="L173" s="8">
        <v>0</v>
      </c>
      <c r="M173" s="8">
        <v>-82.5</v>
      </c>
    </row>
    <row r="174" spans="1:13" ht="48" x14ac:dyDescent="0.2">
      <c r="A174" s="4">
        <v>53100</v>
      </c>
      <c r="B174" s="5">
        <v>45981.75</v>
      </c>
      <c r="C174" s="4" t="s">
        <v>125</v>
      </c>
      <c r="D174" s="6" t="s">
        <v>15</v>
      </c>
      <c r="E174" s="6" t="s">
        <v>16</v>
      </c>
      <c r="F174" s="6" t="s">
        <v>28</v>
      </c>
      <c r="G174" s="7" t="s">
        <v>209</v>
      </c>
      <c r="H174" s="19">
        <f t="shared" si="4"/>
        <v>0.75</v>
      </c>
      <c r="I174" s="19">
        <f t="shared" si="5"/>
        <v>0.77083333333333337</v>
      </c>
      <c r="J174" s="8">
        <v>550</v>
      </c>
      <c r="K174" s="8">
        <v>1</v>
      </c>
      <c r="L174" s="8">
        <v>0</v>
      </c>
      <c r="M174" s="8">
        <v>550</v>
      </c>
    </row>
    <row r="175" spans="1:13" ht="26" x14ac:dyDescent="0.2">
      <c r="A175" s="4">
        <v>53089</v>
      </c>
      <c r="B175" s="5">
        <v>45981.75</v>
      </c>
      <c r="C175" s="4" t="s">
        <v>127</v>
      </c>
      <c r="D175" s="6" t="s">
        <v>26</v>
      </c>
      <c r="E175" s="6" t="s">
        <v>101</v>
      </c>
      <c r="F175" s="6" t="s">
        <v>33</v>
      </c>
      <c r="G175" s="7" t="s">
        <v>37</v>
      </c>
      <c r="H175" s="19" t="str">
        <f t="shared" si="4"/>
        <v/>
      </c>
      <c r="I175" s="19" t="str">
        <f t="shared" si="5"/>
        <v/>
      </c>
      <c r="J175" s="8">
        <v>450</v>
      </c>
      <c r="K175" s="8">
        <v>1</v>
      </c>
      <c r="L175" s="8">
        <v>0</v>
      </c>
      <c r="M175" s="8">
        <v>450</v>
      </c>
    </row>
    <row r="176" spans="1:13" ht="48" x14ac:dyDescent="0.2">
      <c r="A176" s="4">
        <v>53089</v>
      </c>
      <c r="B176" s="5">
        <v>45981.75</v>
      </c>
      <c r="C176" s="4" t="s">
        <v>127</v>
      </c>
      <c r="D176" s="6" t="s">
        <v>26</v>
      </c>
      <c r="E176" s="6" t="s">
        <v>101</v>
      </c>
      <c r="F176" s="6" t="s">
        <v>28</v>
      </c>
      <c r="G176" s="7" t="s">
        <v>210</v>
      </c>
      <c r="H176" s="19">
        <f t="shared" si="4"/>
        <v>0.75</v>
      </c>
      <c r="I176" s="19">
        <f t="shared" si="5"/>
        <v>0.77083333333333337</v>
      </c>
      <c r="J176" s="8">
        <v>550</v>
      </c>
      <c r="K176" s="8">
        <v>1</v>
      </c>
      <c r="L176" s="8">
        <v>0</v>
      </c>
      <c r="M176" s="8">
        <v>550</v>
      </c>
    </row>
    <row r="177" spans="1:13" ht="39" x14ac:dyDescent="0.2">
      <c r="A177" s="4">
        <v>53092</v>
      </c>
      <c r="B177" s="5">
        <v>45981.75</v>
      </c>
      <c r="C177" s="4" t="s">
        <v>128</v>
      </c>
      <c r="D177" s="6" t="s">
        <v>15</v>
      </c>
      <c r="E177" s="6" t="s">
        <v>95</v>
      </c>
      <c r="F177" s="6" t="s">
        <v>29</v>
      </c>
      <c r="G177" s="7" t="s">
        <v>30</v>
      </c>
      <c r="H177" s="19" t="str">
        <f t="shared" si="4"/>
        <v/>
      </c>
      <c r="I177" s="19" t="str">
        <f t="shared" si="5"/>
        <v/>
      </c>
      <c r="J177" s="8">
        <v>-82.5</v>
      </c>
      <c r="K177" s="8">
        <v>1</v>
      </c>
      <c r="L177" s="8">
        <v>0</v>
      </c>
      <c r="M177" s="8">
        <v>-82.5</v>
      </c>
    </row>
    <row r="178" spans="1:13" ht="39" x14ac:dyDescent="0.2">
      <c r="A178" s="4">
        <v>53092</v>
      </c>
      <c r="B178" s="5">
        <v>45981.75</v>
      </c>
      <c r="C178" s="4" t="s">
        <v>128</v>
      </c>
      <c r="D178" s="6" t="s">
        <v>15</v>
      </c>
      <c r="E178" s="6" t="s">
        <v>95</v>
      </c>
      <c r="F178" s="6" t="s">
        <v>33</v>
      </c>
      <c r="G178" s="7" t="s">
        <v>34</v>
      </c>
      <c r="H178" s="19" t="str">
        <f t="shared" si="4"/>
        <v/>
      </c>
      <c r="I178" s="19" t="str">
        <f t="shared" si="5"/>
        <v/>
      </c>
      <c r="J178" s="8">
        <v>550</v>
      </c>
      <c r="K178" s="8">
        <v>1</v>
      </c>
      <c r="L178" s="8">
        <v>0</v>
      </c>
      <c r="M178" s="8">
        <v>550</v>
      </c>
    </row>
    <row r="179" spans="1:13" ht="39" x14ac:dyDescent="0.2">
      <c r="A179" s="4">
        <v>53092</v>
      </c>
      <c r="B179" s="5">
        <v>45981.75</v>
      </c>
      <c r="C179" s="4" t="s">
        <v>128</v>
      </c>
      <c r="D179" s="6" t="s">
        <v>15</v>
      </c>
      <c r="E179" s="6" t="s">
        <v>95</v>
      </c>
      <c r="F179" s="6" t="s">
        <v>29</v>
      </c>
      <c r="G179" s="7" t="s">
        <v>30</v>
      </c>
      <c r="H179" s="19" t="str">
        <f t="shared" si="4"/>
        <v/>
      </c>
      <c r="I179" s="19" t="str">
        <f t="shared" si="5"/>
        <v/>
      </c>
      <c r="J179" s="8">
        <v>-67.5</v>
      </c>
      <c r="K179" s="8">
        <v>1</v>
      </c>
      <c r="L179" s="8">
        <v>0</v>
      </c>
      <c r="M179" s="8">
        <v>-67.5</v>
      </c>
    </row>
    <row r="180" spans="1:13" ht="48" x14ac:dyDescent="0.2">
      <c r="A180" s="4">
        <v>53092</v>
      </c>
      <c r="B180" s="5">
        <v>45981.75</v>
      </c>
      <c r="C180" s="4" t="s">
        <v>128</v>
      </c>
      <c r="D180" s="6" t="s">
        <v>15</v>
      </c>
      <c r="E180" s="6" t="s">
        <v>95</v>
      </c>
      <c r="F180" s="6" t="s">
        <v>28</v>
      </c>
      <c r="G180" s="7" t="s">
        <v>211</v>
      </c>
      <c r="H180" s="19">
        <f t="shared" si="4"/>
        <v>0.75</v>
      </c>
      <c r="I180" s="19">
        <f t="shared" si="5"/>
        <v>0.77083333333333337</v>
      </c>
      <c r="J180" s="8">
        <v>450</v>
      </c>
      <c r="K180" s="8">
        <v>1</v>
      </c>
      <c r="L180" s="8">
        <v>0</v>
      </c>
      <c r="M180" s="8">
        <v>450</v>
      </c>
    </row>
    <row r="181" spans="1:13" ht="48" x14ac:dyDescent="0.2">
      <c r="A181" s="4">
        <v>53094</v>
      </c>
      <c r="B181" s="5">
        <v>45981.75</v>
      </c>
      <c r="C181" s="4" t="s">
        <v>129</v>
      </c>
      <c r="D181" s="6" t="s">
        <v>26</v>
      </c>
      <c r="E181" s="6" t="s">
        <v>121</v>
      </c>
      <c r="F181" s="6" t="s">
        <v>28</v>
      </c>
      <c r="G181" s="7" t="s">
        <v>212</v>
      </c>
      <c r="H181" s="19">
        <f t="shared" si="4"/>
        <v>0.75</v>
      </c>
      <c r="I181" s="19">
        <f t="shared" si="5"/>
        <v>0.77083333333333337</v>
      </c>
      <c r="J181" s="8">
        <v>500</v>
      </c>
      <c r="K181" s="8">
        <v>1</v>
      </c>
      <c r="L181" s="8">
        <v>0</v>
      </c>
      <c r="M181" s="8">
        <v>500</v>
      </c>
    </row>
    <row r="182" spans="1:13" ht="48" x14ac:dyDescent="0.2">
      <c r="A182" s="4">
        <v>53090</v>
      </c>
      <c r="B182" s="5">
        <v>45981.760416666701</v>
      </c>
      <c r="C182" s="4" t="s">
        <v>130</v>
      </c>
      <c r="D182" s="6" t="s">
        <v>49</v>
      </c>
      <c r="E182" s="6" t="s">
        <v>116</v>
      </c>
      <c r="F182" s="6" t="s">
        <v>28</v>
      </c>
      <c r="G182" s="7" t="s">
        <v>213</v>
      </c>
      <c r="H182" s="19">
        <f t="shared" si="4"/>
        <v>0.76041666666666663</v>
      </c>
      <c r="I182" s="19">
        <f t="shared" si="5"/>
        <v>0.78125</v>
      </c>
      <c r="J182" s="8">
        <v>450</v>
      </c>
      <c r="K182" s="8">
        <v>1</v>
      </c>
      <c r="L182" s="8">
        <v>0</v>
      </c>
      <c r="M182" s="8">
        <v>450</v>
      </c>
    </row>
    <row r="183" spans="1:13" ht="39" x14ac:dyDescent="0.2">
      <c r="A183" s="4">
        <v>53106</v>
      </c>
      <c r="B183" s="5">
        <v>45981.770833333299</v>
      </c>
      <c r="C183" s="4" t="s">
        <v>131</v>
      </c>
      <c r="D183" s="6" t="s">
        <v>15</v>
      </c>
      <c r="E183" s="6" t="s">
        <v>43</v>
      </c>
      <c r="F183" s="6" t="s">
        <v>29</v>
      </c>
      <c r="G183" s="7" t="s">
        <v>30</v>
      </c>
      <c r="H183" s="19" t="str">
        <f t="shared" si="4"/>
        <v/>
      </c>
      <c r="I183" s="19" t="str">
        <f t="shared" si="5"/>
        <v/>
      </c>
      <c r="J183" s="8">
        <v>-82.5</v>
      </c>
      <c r="K183" s="8">
        <v>1</v>
      </c>
      <c r="L183" s="8">
        <v>0</v>
      </c>
      <c r="M183" s="8">
        <v>-82.5</v>
      </c>
    </row>
    <row r="184" spans="1:13" ht="48" x14ac:dyDescent="0.2">
      <c r="A184" s="4">
        <v>53106</v>
      </c>
      <c r="B184" s="5">
        <v>45981.770833333299</v>
      </c>
      <c r="C184" s="4" t="s">
        <v>131</v>
      </c>
      <c r="D184" s="6" t="s">
        <v>15</v>
      </c>
      <c r="E184" s="6" t="s">
        <v>43</v>
      </c>
      <c r="F184" s="6" t="s">
        <v>28</v>
      </c>
      <c r="G184" s="7" t="s">
        <v>214</v>
      </c>
      <c r="H184" s="19">
        <f t="shared" si="4"/>
        <v>0.77083333333333337</v>
      </c>
      <c r="I184" s="19">
        <f t="shared" si="5"/>
        <v>0.79166666666666663</v>
      </c>
      <c r="J184" s="8">
        <v>550</v>
      </c>
      <c r="K184" s="8">
        <v>1</v>
      </c>
      <c r="L184" s="8">
        <v>0</v>
      </c>
      <c r="M184" s="8">
        <v>550</v>
      </c>
    </row>
    <row r="185" spans="1:13" ht="48" x14ac:dyDescent="0.2">
      <c r="A185" s="4">
        <v>53109</v>
      </c>
      <c r="B185" s="5">
        <v>45981.770833333299</v>
      </c>
      <c r="C185" s="4" t="s">
        <v>132</v>
      </c>
      <c r="D185" s="6" t="s">
        <v>26</v>
      </c>
      <c r="E185" s="6" t="s">
        <v>101</v>
      </c>
      <c r="F185" s="6" t="s">
        <v>28</v>
      </c>
      <c r="G185" s="7" t="s">
        <v>215</v>
      </c>
      <c r="H185" s="19">
        <f t="shared" si="4"/>
        <v>0.77083333333333337</v>
      </c>
      <c r="I185" s="19">
        <f t="shared" si="5"/>
        <v>0.83333333333333337</v>
      </c>
      <c r="J185" s="8">
        <v>2000</v>
      </c>
      <c r="K185" s="8">
        <v>1</v>
      </c>
      <c r="L185" s="8">
        <v>0</v>
      </c>
      <c r="M185" s="8">
        <v>2000</v>
      </c>
    </row>
    <row r="186" spans="1:13" ht="48" x14ac:dyDescent="0.2">
      <c r="A186" s="4">
        <v>53105</v>
      </c>
      <c r="B186" s="5">
        <v>45981.770833333299</v>
      </c>
      <c r="C186" s="4" t="s">
        <v>133</v>
      </c>
      <c r="D186" s="6" t="s">
        <v>15</v>
      </c>
      <c r="E186" s="6" t="s">
        <v>16</v>
      </c>
      <c r="F186" s="6" t="s">
        <v>28</v>
      </c>
      <c r="G186" s="7" t="s">
        <v>216</v>
      </c>
      <c r="H186" s="19">
        <f t="shared" si="4"/>
        <v>0.77083333333333337</v>
      </c>
      <c r="I186" s="19">
        <f t="shared" si="5"/>
        <v>0.79166666666666663</v>
      </c>
      <c r="J186" s="8">
        <v>0</v>
      </c>
      <c r="K186" s="8">
        <v>1</v>
      </c>
      <c r="L186" s="8">
        <v>0</v>
      </c>
      <c r="M186" s="8">
        <v>0</v>
      </c>
    </row>
    <row r="187" spans="1:13" ht="48" x14ac:dyDescent="0.2">
      <c r="A187" s="4">
        <v>53102</v>
      </c>
      <c r="B187" s="5">
        <v>45981.770833333299</v>
      </c>
      <c r="C187" s="4" t="s">
        <v>134</v>
      </c>
      <c r="D187" s="6" t="s">
        <v>68</v>
      </c>
      <c r="E187" s="6" t="s">
        <v>135</v>
      </c>
      <c r="F187" s="6" t="s">
        <v>28</v>
      </c>
      <c r="G187" s="7" t="s">
        <v>217</v>
      </c>
      <c r="H187" s="19">
        <f t="shared" si="4"/>
        <v>0.77083333333333337</v>
      </c>
      <c r="I187" s="19">
        <f t="shared" si="5"/>
        <v>0.79166666666666663</v>
      </c>
      <c r="J187" s="8">
        <v>0</v>
      </c>
      <c r="K187" s="8">
        <v>1</v>
      </c>
      <c r="L187" s="8">
        <v>0</v>
      </c>
      <c r="M187" s="8">
        <v>0</v>
      </c>
    </row>
    <row r="188" spans="1:13" ht="39" x14ac:dyDescent="0.2">
      <c r="A188" s="4">
        <v>53107</v>
      </c>
      <c r="B188" s="5">
        <v>45981.791666666701</v>
      </c>
      <c r="C188" s="4" t="s">
        <v>136</v>
      </c>
      <c r="D188" s="6" t="s">
        <v>26</v>
      </c>
      <c r="E188" s="6" t="s">
        <v>121</v>
      </c>
      <c r="F188" s="6" t="s">
        <v>33</v>
      </c>
      <c r="G188" s="7" t="s">
        <v>66</v>
      </c>
      <c r="H188" s="19" t="str">
        <f t="shared" si="4"/>
        <v/>
      </c>
      <c r="I188" s="19" t="str">
        <f t="shared" si="5"/>
        <v/>
      </c>
      <c r="J188" s="8">
        <v>350</v>
      </c>
      <c r="K188" s="8">
        <v>1</v>
      </c>
      <c r="L188" s="8">
        <v>0</v>
      </c>
      <c r="M188" s="8">
        <v>350</v>
      </c>
    </row>
    <row r="189" spans="1:13" ht="39" x14ac:dyDescent="0.2">
      <c r="A189" s="4">
        <v>53107</v>
      </c>
      <c r="B189" s="5">
        <v>45981.791666666701</v>
      </c>
      <c r="C189" s="4" t="s">
        <v>136</v>
      </c>
      <c r="D189" s="6" t="s">
        <v>26</v>
      </c>
      <c r="E189" s="6" t="s">
        <v>121</v>
      </c>
      <c r="F189" s="6" t="s">
        <v>33</v>
      </c>
      <c r="G189" s="7" t="s">
        <v>37</v>
      </c>
      <c r="H189" s="19" t="str">
        <f t="shared" si="4"/>
        <v/>
      </c>
      <c r="I189" s="19" t="str">
        <f t="shared" si="5"/>
        <v/>
      </c>
      <c r="J189" s="8">
        <v>450</v>
      </c>
      <c r="K189" s="8">
        <v>1</v>
      </c>
      <c r="L189" s="8">
        <v>0</v>
      </c>
      <c r="M189" s="8">
        <v>450</v>
      </c>
    </row>
    <row r="190" spans="1:13" ht="48" x14ac:dyDescent="0.2">
      <c r="A190" s="4">
        <v>53107</v>
      </c>
      <c r="B190" s="5">
        <v>45981.791666666701</v>
      </c>
      <c r="C190" s="4" t="s">
        <v>136</v>
      </c>
      <c r="D190" s="6" t="s">
        <v>26</v>
      </c>
      <c r="E190" s="6" t="s">
        <v>121</v>
      </c>
      <c r="F190" s="6" t="s">
        <v>28</v>
      </c>
      <c r="G190" s="7" t="s">
        <v>218</v>
      </c>
      <c r="H190" s="19">
        <f t="shared" si="4"/>
        <v>0.79166666666666663</v>
      </c>
      <c r="I190" s="19">
        <f t="shared" si="5"/>
        <v>0.8125</v>
      </c>
      <c r="J190" s="8">
        <v>550</v>
      </c>
      <c r="K190" s="8">
        <v>1</v>
      </c>
      <c r="L190" s="8">
        <v>0</v>
      </c>
      <c r="M190" s="8">
        <v>550</v>
      </c>
    </row>
    <row r="191" spans="1:13" ht="48" x14ac:dyDescent="0.2">
      <c r="A191" s="4">
        <v>53108</v>
      </c>
      <c r="B191" s="5">
        <v>45981.791666666701</v>
      </c>
      <c r="C191" s="4" t="s">
        <v>133</v>
      </c>
      <c r="D191" s="6" t="s">
        <v>15</v>
      </c>
      <c r="E191" s="6" t="s">
        <v>95</v>
      </c>
      <c r="F191" s="6" t="s">
        <v>28</v>
      </c>
      <c r="G191" s="7" t="s">
        <v>219</v>
      </c>
      <c r="H191" s="19">
        <f t="shared" si="4"/>
        <v>0.79166666666666663</v>
      </c>
      <c r="I191" s="19">
        <f t="shared" si="5"/>
        <v>0.8125</v>
      </c>
      <c r="J191" s="8">
        <v>550</v>
      </c>
      <c r="K191" s="8">
        <v>1</v>
      </c>
      <c r="L191" s="8">
        <v>0</v>
      </c>
      <c r="M191" s="8">
        <v>550</v>
      </c>
    </row>
    <row r="192" spans="1:13" ht="26" x14ac:dyDescent="0.2">
      <c r="A192" s="4">
        <v>53108</v>
      </c>
      <c r="B192" s="5">
        <v>45981.791666666701</v>
      </c>
      <c r="C192" s="4" t="s">
        <v>133</v>
      </c>
      <c r="D192" s="6" t="s">
        <v>15</v>
      </c>
      <c r="E192" s="6" t="s">
        <v>95</v>
      </c>
      <c r="F192" s="6" t="s">
        <v>29</v>
      </c>
      <c r="G192" s="7" t="s">
        <v>30</v>
      </c>
      <c r="H192" s="19" t="str">
        <f t="shared" si="4"/>
        <v/>
      </c>
      <c r="I192" s="19" t="str">
        <f t="shared" si="5"/>
        <v/>
      </c>
      <c r="J192" s="8">
        <v>-82.5</v>
      </c>
      <c r="K192" s="8">
        <v>1</v>
      </c>
      <c r="L192" s="8">
        <v>0</v>
      </c>
      <c r="M192" s="8">
        <v>-82.5</v>
      </c>
    </row>
    <row r="193" spans="1:13" ht="26" x14ac:dyDescent="0.2">
      <c r="A193" s="4">
        <v>53108</v>
      </c>
      <c r="B193" s="5">
        <v>45981.791666666701</v>
      </c>
      <c r="C193" s="4" t="s">
        <v>133</v>
      </c>
      <c r="D193" s="6" t="s">
        <v>15</v>
      </c>
      <c r="E193" s="6" t="s">
        <v>95</v>
      </c>
      <c r="F193" s="6" t="s">
        <v>33</v>
      </c>
      <c r="G193" s="7" t="s">
        <v>137</v>
      </c>
      <c r="H193" s="19" t="str">
        <f t="shared" si="4"/>
        <v/>
      </c>
      <c r="I193" s="19" t="str">
        <f t="shared" si="5"/>
        <v/>
      </c>
      <c r="J193" s="8">
        <v>550</v>
      </c>
      <c r="K193" s="8">
        <v>1</v>
      </c>
      <c r="L193" s="8">
        <v>0</v>
      </c>
      <c r="M193" s="8">
        <v>550</v>
      </c>
    </row>
    <row r="194" spans="1:13" ht="26" x14ac:dyDescent="0.2">
      <c r="A194" s="4">
        <v>53108</v>
      </c>
      <c r="B194" s="5">
        <v>45981.791666666701</v>
      </c>
      <c r="C194" s="4" t="s">
        <v>133</v>
      </c>
      <c r="D194" s="6" t="s">
        <v>15</v>
      </c>
      <c r="E194" s="6" t="s">
        <v>95</v>
      </c>
      <c r="F194" s="6" t="s">
        <v>29</v>
      </c>
      <c r="G194" s="7" t="s">
        <v>30</v>
      </c>
      <c r="H194" s="19" t="str">
        <f t="shared" si="4"/>
        <v/>
      </c>
      <c r="I194" s="19" t="str">
        <f t="shared" si="5"/>
        <v/>
      </c>
      <c r="J194" s="8">
        <v>-82.5</v>
      </c>
      <c r="K194" s="8">
        <v>1</v>
      </c>
      <c r="L194" s="8">
        <v>0</v>
      </c>
      <c r="M194" s="8">
        <v>-82.5</v>
      </c>
    </row>
    <row r="195" spans="1:13" ht="16" thickBot="1" x14ac:dyDescent="0.25">
      <c r="A195" s="9" t="s">
        <v>138</v>
      </c>
      <c r="B195" s="9" t="s">
        <v>138</v>
      </c>
      <c r="C195" s="9" t="s">
        <v>138</v>
      </c>
      <c r="D195" s="9" t="s">
        <v>138</v>
      </c>
      <c r="E195" s="9" t="s">
        <v>138</v>
      </c>
      <c r="F195" s="9" t="s">
        <v>138</v>
      </c>
      <c r="G195" s="9" t="s">
        <v>138</v>
      </c>
      <c r="H195" s="19" t="str">
        <f t="shared" si="4"/>
        <v/>
      </c>
      <c r="I195" s="19" t="str">
        <f t="shared" si="5"/>
        <v/>
      </c>
      <c r="J195" s="10" t="s">
        <v>138</v>
      </c>
      <c r="K195" s="11">
        <v>187</v>
      </c>
      <c r="L195" s="11">
        <v>0</v>
      </c>
      <c r="M195" s="11">
        <v>86637.5</v>
      </c>
    </row>
    <row r="196" spans="1:13" ht="0" hidden="1" customHeight="1" x14ac:dyDescent="0.2"/>
  </sheetData>
  <mergeCells count="3">
    <mergeCell ref="A1:O1"/>
    <mergeCell ref="A2:O2"/>
    <mergeCell ref="A3:O3"/>
  </mergeCells>
  <hyperlinks>
    <hyperlink ref="A8" r:id="rId1" display="https://app.gettimely.com/billing/viewinvoice/185234901" xr:uid="{00000000-0004-0000-0000-000000000000}"/>
    <hyperlink ref="C8" r:id="rId2" xr:uid="{00000000-0004-0000-0000-000001000000}"/>
    <hyperlink ref="A9" r:id="rId3" display="https://app.gettimely.com/billing/viewinvoice/185264244" xr:uid="{00000000-0004-0000-0000-000002000000}"/>
    <hyperlink ref="C9" r:id="rId4" xr:uid="{00000000-0004-0000-0000-000003000000}"/>
    <hyperlink ref="A10" r:id="rId5" display="https://app.gettimely.com/billing/viewinvoice/185187068" xr:uid="{00000000-0004-0000-0000-000004000000}"/>
    <hyperlink ref="C10" r:id="rId6" xr:uid="{00000000-0004-0000-0000-000005000000}"/>
    <hyperlink ref="A11" r:id="rId7" display="https://app.gettimely.com/billing/viewinvoice/185226323" xr:uid="{00000000-0004-0000-0000-000006000000}"/>
    <hyperlink ref="C11" r:id="rId8" xr:uid="{00000000-0004-0000-0000-000007000000}"/>
    <hyperlink ref="A12" r:id="rId9" display="https://app.gettimely.com/billing/viewinvoice/185226323" xr:uid="{00000000-0004-0000-0000-000008000000}"/>
    <hyperlink ref="C12" r:id="rId10" xr:uid="{00000000-0004-0000-0000-000009000000}"/>
    <hyperlink ref="A13" r:id="rId11" display="https://app.gettimely.com/billing/viewinvoice/185227022" xr:uid="{00000000-0004-0000-0000-00000A000000}"/>
    <hyperlink ref="C13" r:id="rId12" xr:uid="{00000000-0004-0000-0000-00000B000000}"/>
    <hyperlink ref="A14" r:id="rId13" display="https://app.gettimely.com/billing/viewinvoice/185227022" xr:uid="{00000000-0004-0000-0000-00000C000000}"/>
    <hyperlink ref="C14" r:id="rId14" xr:uid="{00000000-0004-0000-0000-00000D000000}"/>
    <hyperlink ref="A15" r:id="rId15" display="https://app.gettimely.com/billing/viewinvoice/185226932" xr:uid="{00000000-0004-0000-0000-00000E000000}"/>
    <hyperlink ref="C15" r:id="rId16" xr:uid="{00000000-0004-0000-0000-00000F000000}"/>
    <hyperlink ref="A16" r:id="rId17" display="https://app.gettimely.com/billing/viewinvoice/185226932" xr:uid="{00000000-0004-0000-0000-000010000000}"/>
    <hyperlink ref="C16" r:id="rId18" xr:uid="{00000000-0004-0000-0000-000011000000}"/>
    <hyperlink ref="A17" r:id="rId19" display="https://app.gettimely.com/billing/viewinvoice/185226932" xr:uid="{00000000-0004-0000-0000-000012000000}"/>
    <hyperlink ref="C17" r:id="rId20" xr:uid="{00000000-0004-0000-0000-000013000000}"/>
    <hyperlink ref="A18" r:id="rId21" display="https://app.gettimely.com/billing/viewinvoice/185226932" xr:uid="{00000000-0004-0000-0000-000014000000}"/>
    <hyperlink ref="C18" r:id="rId22" xr:uid="{00000000-0004-0000-0000-000015000000}"/>
    <hyperlink ref="A19" r:id="rId23" display="https://app.gettimely.com/billing/viewinvoice/185226932" xr:uid="{00000000-0004-0000-0000-000016000000}"/>
    <hyperlink ref="C19" r:id="rId24" xr:uid="{00000000-0004-0000-0000-000017000000}"/>
    <hyperlink ref="A20" r:id="rId25" display="https://app.gettimely.com/billing/viewinvoice/185226932" xr:uid="{00000000-0004-0000-0000-000018000000}"/>
    <hyperlink ref="C20" r:id="rId26" xr:uid="{00000000-0004-0000-0000-000019000000}"/>
    <hyperlink ref="A21" r:id="rId27" display="https://app.gettimely.com/billing/viewinvoice/185227633" xr:uid="{00000000-0004-0000-0000-00001A000000}"/>
    <hyperlink ref="C21" r:id="rId28" xr:uid="{00000000-0004-0000-0000-00001B000000}"/>
    <hyperlink ref="A22" r:id="rId29" display="https://app.gettimely.com/billing/viewinvoice/185227197" xr:uid="{00000000-0004-0000-0000-00001C000000}"/>
    <hyperlink ref="C22" r:id="rId30" xr:uid="{00000000-0004-0000-0000-00001D000000}"/>
    <hyperlink ref="A23" r:id="rId31" display="https://app.gettimely.com/billing/viewinvoice/185227197" xr:uid="{00000000-0004-0000-0000-00001E000000}"/>
    <hyperlink ref="C23" r:id="rId32" xr:uid="{00000000-0004-0000-0000-00001F000000}"/>
    <hyperlink ref="A24" r:id="rId33" display="https://app.gettimely.com/billing/viewinvoice/185226725" xr:uid="{00000000-0004-0000-0000-000020000000}"/>
    <hyperlink ref="C24" r:id="rId34" xr:uid="{00000000-0004-0000-0000-000021000000}"/>
    <hyperlink ref="A25" r:id="rId35" display="https://app.gettimely.com/billing/viewinvoice/185226725" xr:uid="{00000000-0004-0000-0000-000022000000}"/>
    <hyperlink ref="C25" r:id="rId36" xr:uid="{00000000-0004-0000-0000-000023000000}"/>
    <hyperlink ref="A26" r:id="rId37" display="https://app.gettimely.com/billing/viewinvoice/185228904" xr:uid="{00000000-0004-0000-0000-000024000000}"/>
    <hyperlink ref="C26" r:id="rId38" xr:uid="{00000000-0004-0000-0000-000025000000}"/>
    <hyperlink ref="A27" r:id="rId39" display="https://app.gettimely.com/billing/viewinvoice/185228253" xr:uid="{00000000-0004-0000-0000-000026000000}"/>
    <hyperlink ref="C27" r:id="rId40" xr:uid="{00000000-0004-0000-0000-000027000000}"/>
    <hyperlink ref="A28" r:id="rId41" display="https://app.gettimely.com/billing/viewinvoice/185228253" xr:uid="{00000000-0004-0000-0000-000028000000}"/>
    <hyperlink ref="C28" r:id="rId42" xr:uid="{00000000-0004-0000-0000-000029000000}"/>
    <hyperlink ref="A29" r:id="rId43" display="https://app.gettimely.com/billing/viewinvoice/185228573" xr:uid="{00000000-0004-0000-0000-00002A000000}"/>
    <hyperlink ref="C29" r:id="rId44" xr:uid="{00000000-0004-0000-0000-00002B000000}"/>
    <hyperlink ref="A30" r:id="rId45" display="https://app.gettimely.com/billing/viewinvoice/185228573" xr:uid="{00000000-0004-0000-0000-00002C000000}"/>
    <hyperlink ref="C30" r:id="rId46" xr:uid="{00000000-0004-0000-0000-00002D000000}"/>
    <hyperlink ref="A31" r:id="rId47" display="https://app.gettimely.com/billing/viewinvoice/185228573" xr:uid="{00000000-0004-0000-0000-00002E000000}"/>
    <hyperlink ref="C31" r:id="rId48" xr:uid="{00000000-0004-0000-0000-00002F000000}"/>
    <hyperlink ref="A32" r:id="rId49" display="https://app.gettimely.com/billing/viewinvoice/185228904" xr:uid="{00000000-0004-0000-0000-000030000000}"/>
    <hyperlink ref="C32" r:id="rId50" xr:uid="{00000000-0004-0000-0000-000031000000}"/>
    <hyperlink ref="A33" r:id="rId51" display="https://app.gettimely.com/billing/viewinvoice/185228904" xr:uid="{00000000-0004-0000-0000-000032000000}"/>
    <hyperlink ref="C33" r:id="rId52" xr:uid="{00000000-0004-0000-0000-000033000000}"/>
    <hyperlink ref="A34" r:id="rId53" display="https://app.gettimely.com/billing/viewinvoice/185227397" xr:uid="{00000000-0004-0000-0000-000034000000}"/>
    <hyperlink ref="C34" r:id="rId54" xr:uid="{00000000-0004-0000-0000-000035000000}"/>
    <hyperlink ref="A35" r:id="rId55" display="https://app.gettimely.com/billing/viewinvoice/185229159" xr:uid="{00000000-0004-0000-0000-000036000000}"/>
    <hyperlink ref="C35" r:id="rId56" xr:uid="{00000000-0004-0000-0000-000037000000}"/>
    <hyperlink ref="A36" r:id="rId57" display="https://app.gettimely.com/billing/viewinvoice/185229159" xr:uid="{00000000-0004-0000-0000-000038000000}"/>
    <hyperlink ref="C36" r:id="rId58" xr:uid="{00000000-0004-0000-0000-000039000000}"/>
    <hyperlink ref="A37" r:id="rId59" display="https://app.gettimely.com/billing/viewinvoice/185228358" xr:uid="{00000000-0004-0000-0000-00003A000000}"/>
    <hyperlink ref="C37" r:id="rId60" xr:uid="{00000000-0004-0000-0000-00003B000000}"/>
    <hyperlink ref="A38" r:id="rId61" display="https://app.gettimely.com/billing/viewinvoice/185228358" xr:uid="{00000000-0004-0000-0000-00003C000000}"/>
    <hyperlink ref="C38" r:id="rId62" xr:uid="{00000000-0004-0000-0000-00003D000000}"/>
    <hyperlink ref="A39" r:id="rId63" display="https://app.gettimely.com/billing/viewinvoice/185228358" xr:uid="{00000000-0004-0000-0000-00003E000000}"/>
    <hyperlink ref="C39" r:id="rId64" xr:uid="{00000000-0004-0000-0000-00003F000000}"/>
    <hyperlink ref="A40" r:id="rId65" display="https://app.gettimely.com/billing/viewinvoice/185227829" xr:uid="{00000000-0004-0000-0000-000040000000}"/>
    <hyperlink ref="C40" r:id="rId66" xr:uid="{00000000-0004-0000-0000-000041000000}"/>
    <hyperlink ref="A41" r:id="rId67" display="https://app.gettimely.com/billing/viewinvoice/185227829" xr:uid="{00000000-0004-0000-0000-000042000000}"/>
    <hyperlink ref="C41" r:id="rId68" xr:uid="{00000000-0004-0000-0000-000043000000}"/>
    <hyperlink ref="A42" r:id="rId69" display="https://app.gettimely.com/billing/viewinvoice/185228814" xr:uid="{00000000-0004-0000-0000-000044000000}"/>
    <hyperlink ref="C42" r:id="rId70" xr:uid="{00000000-0004-0000-0000-000045000000}"/>
    <hyperlink ref="A43" r:id="rId71" display="https://app.gettimely.com/billing/viewinvoice/185230373" xr:uid="{00000000-0004-0000-0000-000046000000}"/>
    <hyperlink ref="C43" r:id="rId72" xr:uid="{00000000-0004-0000-0000-000047000000}"/>
    <hyperlink ref="A44" r:id="rId73" display="https://app.gettimely.com/billing/viewinvoice/185230373" xr:uid="{00000000-0004-0000-0000-000048000000}"/>
    <hyperlink ref="C44" r:id="rId74" xr:uid="{00000000-0004-0000-0000-000049000000}"/>
    <hyperlink ref="A45" r:id="rId75" display="https://app.gettimely.com/billing/viewinvoice/185229517" xr:uid="{00000000-0004-0000-0000-00004A000000}"/>
    <hyperlink ref="C45" r:id="rId76" xr:uid="{00000000-0004-0000-0000-00004B000000}"/>
    <hyperlink ref="A46" r:id="rId77" display="https://app.gettimely.com/billing/viewinvoice/185230402" xr:uid="{00000000-0004-0000-0000-00004C000000}"/>
    <hyperlink ref="C46" r:id="rId78" xr:uid="{00000000-0004-0000-0000-00004D000000}"/>
    <hyperlink ref="A47" r:id="rId79" display="https://app.gettimely.com/billing/viewinvoice/185230402" xr:uid="{00000000-0004-0000-0000-00004E000000}"/>
    <hyperlink ref="C47" r:id="rId80" xr:uid="{00000000-0004-0000-0000-00004F000000}"/>
    <hyperlink ref="A48" r:id="rId81" display="https://app.gettimely.com/billing/viewinvoice/185229364" xr:uid="{00000000-0004-0000-0000-000050000000}"/>
    <hyperlink ref="C48" r:id="rId82" xr:uid="{00000000-0004-0000-0000-000051000000}"/>
    <hyperlink ref="A49" r:id="rId83" display="https://app.gettimely.com/billing/viewinvoice/185229168" xr:uid="{00000000-0004-0000-0000-000052000000}"/>
    <hyperlink ref="C49" r:id="rId84" xr:uid="{00000000-0004-0000-0000-000053000000}"/>
    <hyperlink ref="A50" r:id="rId85" display="https://app.gettimely.com/billing/viewinvoice/185229626" xr:uid="{00000000-0004-0000-0000-000054000000}"/>
    <hyperlink ref="C50" r:id="rId86" xr:uid="{00000000-0004-0000-0000-000055000000}"/>
    <hyperlink ref="A51" r:id="rId87" display="https://app.gettimely.com/billing/viewinvoice/185229626" xr:uid="{00000000-0004-0000-0000-000056000000}"/>
    <hyperlink ref="C51" r:id="rId88" xr:uid="{00000000-0004-0000-0000-000057000000}"/>
    <hyperlink ref="A52" r:id="rId89" display="https://app.gettimely.com/billing/viewinvoice/185229655" xr:uid="{00000000-0004-0000-0000-000058000000}"/>
    <hyperlink ref="C52" r:id="rId90" xr:uid="{00000000-0004-0000-0000-000059000000}"/>
    <hyperlink ref="A53" r:id="rId91" display="https://app.gettimely.com/billing/viewinvoice/185229655" xr:uid="{00000000-0004-0000-0000-00005A000000}"/>
    <hyperlink ref="C53" r:id="rId92" xr:uid="{00000000-0004-0000-0000-00005B000000}"/>
    <hyperlink ref="A54" r:id="rId93" display="https://app.gettimely.com/billing/viewinvoice/185229655" xr:uid="{00000000-0004-0000-0000-00005C000000}"/>
    <hyperlink ref="C54" r:id="rId94" xr:uid="{00000000-0004-0000-0000-00005D000000}"/>
    <hyperlink ref="A55" r:id="rId95" display="https://app.gettimely.com/billing/viewinvoice/185229655" xr:uid="{00000000-0004-0000-0000-00005E000000}"/>
    <hyperlink ref="C55" r:id="rId96" xr:uid="{00000000-0004-0000-0000-00005F000000}"/>
    <hyperlink ref="A56" r:id="rId97" display="https://app.gettimely.com/billing/viewinvoice/185235835" xr:uid="{00000000-0004-0000-0000-000060000000}"/>
    <hyperlink ref="C56" r:id="rId98" xr:uid="{00000000-0004-0000-0000-000061000000}"/>
    <hyperlink ref="A57" r:id="rId99" display="https://app.gettimely.com/billing/viewinvoice/185235835" xr:uid="{00000000-0004-0000-0000-000062000000}"/>
    <hyperlink ref="C57" r:id="rId100" xr:uid="{00000000-0004-0000-0000-000063000000}"/>
    <hyperlink ref="A58" r:id="rId101" display="https://app.gettimely.com/billing/viewinvoice/185235835" xr:uid="{00000000-0004-0000-0000-000064000000}"/>
    <hyperlink ref="C58" r:id="rId102" xr:uid="{00000000-0004-0000-0000-000065000000}"/>
    <hyperlink ref="A59" r:id="rId103" display="https://app.gettimely.com/billing/viewinvoice/185235835" xr:uid="{00000000-0004-0000-0000-000066000000}"/>
    <hyperlink ref="C59" r:id="rId104" xr:uid="{00000000-0004-0000-0000-000067000000}"/>
    <hyperlink ref="A60" r:id="rId105" display="https://app.gettimely.com/billing/viewinvoice/185231684" xr:uid="{00000000-0004-0000-0000-000068000000}"/>
    <hyperlink ref="C60" r:id="rId106" xr:uid="{00000000-0004-0000-0000-000069000000}"/>
    <hyperlink ref="A61" r:id="rId107" display="https://app.gettimely.com/billing/viewinvoice/185231684" xr:uid="{00000000-0004-0000-0000-00006A000000}"/>
    <hyperlink ref="C61" r:id="rId108" xr:uid="{00000000-0004-0000-0000-00006B000000}"/>
    <hyperlink ref="A62" r:id="rId109" display="https://app.gettimely.com/billing/viewinvoice/185231684" xr:uid="{00000000-0004-0000-0000-00006C000000}"/>
    <hyperlink ref="C62" r:id="rId110" xr:uid="{00000000-0004-0000-0000-00006D000000}"/>
    <hyperlink ref="A63" r:id="rId111" display="https://app.gettimely.com/billing/viewinvoice/185231684" xr:uid="{00000000-0004-0000-0000-00006E000000}"/>
    <hyperlink ref="C63" r:id="rId112" xr:uid="{00000000-0004-0000-0000-00006F000000}"/>
    <hyperlink ref="A64" r:id="rId113" display="https://app.gettimely.com/billing/viewinvoice/185231684" xr:uid="{00000000-0004-0000-0000-000070000000}"/>
    <hyperlink ref="C64" r:id="rId114" xr:uid="{00000000-0004-0000-0000-000071000000}"/>
    <hyperlink ref="A65" r:id="rId115" display="https://app.gettimely.com/billing/viewinvoice/185231684" xr:uid="{00000000-0004-0000-0000-000072000000}"/>
    <hyperlink ref="C65" r:id="rId116" xr:uid="{00000000-0004-0000-0000-000073000000}"/>
    <hyperlink ref="A66" r:id="rId117" display="https://app.gettimely.com/billing/viewinvoice/185229811" xr:uid="{00000000-0004-0000-0000-000074000000}"/>
    <hyperlink ref="C66" r:id="rId118" xr:uid="{00000000-0004-0000-0000-000075000000}"/>
    <hyperlink ref="A67" r:id="rId119" display="https://app.gettimely.com/billing/viewinvoice/185231917" xr:uid="{00000000-0004-0000-0000-000076000000}"/>
    <hyperlink ref="C67" r:id="rId120" xr:uid="{00000000-0004-0000-0000-000077000000}"/>
    <hyperlink ref="A68" r:id="rId121" display="https://app.gettimely.com/billing/viewinvoice/185232822" xr:uid="{00000000-0004-0000-0000-000078000000}"/>
    <hyperlink ref="C68" r:id="rId122" xr:uid="{00000000-0004-0000-0000-000079000000}"/>
    <hyperlink ref="A69" r:id="rId123" display="https://app.gettimely.com/billing/viewinvoice/185232748" xr:uid="{00000000-0004-0000-0000-00007A000000}"/>
    <hyperlink ref="C69" r:id="rId124" xr:uid="{00000000-0004-0000-0000-00007B000000}"/>
    <hyperlink ref="A70" r:id="rId125" display="https://app.gettimely.com/billing/viewinvoice/185232748" xr:uid="{00000000-0004-0000-0000-00007C000000}"/>
    <hyperlink ref="C70" r:id="rId126" xr:uid="{00000000-0004-0000-0000-00007D000000}"/>
    <hyperlink ref="A71" r:id="rId127" display="https://app.gettimely.com/billing/viewinvoice/185231958" xr:uid="{00000000-0004-0000-0000-00007E000000}"/>
    <hyperlink ref="C71" r:id="rId128" xr:uid="{00000000-0004-0000-0000-00007F000000}"/>
    <hyperlink ref="A72" r:id="rId129" display="https://app.gettimely.com/billing/viewinvoice/185231958" xr:uid="{00000000-0004-0000-0000-000080000000}"/>
    <hyperlink ref="C72" r:id="rId130" xr:uid="{00000000-0004-0000-0000-000081000000}"/>
    <hyperlink ref="A73" r:id="rId131" display="https://app.gettimely.com/billing/viewinvoice/185231958" xr:uid="{00000000-0004-0000-0000-000082000000}"/>
    <hyperlink ref="C73" r:id="rId132" xr:uid="{00000000-0004-0000-0000-000083000000}"/>
    <hyperlink ref="A74" r:id="rId133" display="https://app.gettimely.com/billing/viewinvoice/185232822" xr:uid="{00000000-0004-0000-0000-000084000000}"/>
    <hyperlink ref="C74" r:id="rId134" xr:uid="{00000000-0004-0000-0000-000085000000}"/>
    <hyperlink ref="A75" r:id="rId135" display="https://app.gettimely.com/billing/viewinvoice/185232822" xr:uid="{00000000-0004-0000-0000-000086000000}"/>
    <hyperlink ref="C75" r:id="rId136" xr:uid="{00000000-0004-0000-0000-000087000000}"/>
    <hyperlink ref="A76" r:id="rId137" display="https://app.gettimely.com/billing/viewinvoice/185235491" xr:uid="{00000000-0004-0000-0000-000088000000}"/>
    <hyperlink ref="C76" r:id="rId138" xr:uid="{00000000-0004-0000-0000-000089000000}"/>
    <hyperlink ref="A77" r:id="rId139" display="https://app.gettimely.com/billing/viewinvoice/185235491" xr:uid="{00000000-0004-0000-0000-00008A000000}"/>
    <hyperlink ref="C77" r:id="rId140" xr:uid="{00000000-0004-0000-0000-00008B000000}"/>
    <hyperlink ref="A78" r:id="rId141" display="https://app.gettimely.com/billing/viewinvoice/185235491" xr:uid="{00000000-0004-0000-0000-00008C000000}"/>
    <hyperlink ref="C78" r:id="rId142" xr:uid="{00000000-0004-0000-0000-00008D000000}"/>
    <hyperlink ref="A79" r:id="rId143" display="https://app.gettimely.com/billing/viewinvoice/185232768" xr:uid="{00000000-0004-0000-0000-00008E000000}"/>
    <hyperlink ref="C79" r:id="rId144" xr:uid="{00000000-0004-0000-0000-00008F000000}"/>
    <hyperlink ref="A80" r:id="rId145" display="https://app.gettimely.com/billing/viewinvoice/185234312" xr:uid="{00000000-0004-0000-0000-000090000000}"/>
    <hyperlink ref="C80" r:id="rId146" xr:uid="{00000000-0004-0000-0000-000091000000}"/>
    <hyperlink ref="A81" r:id="rId147" display="https://app.gettimely.com/billing/viewinvoice/185234794" xr:uid="{00000000-0004-0000-0000-000092000000}"/>
    <hyperlink ref="C81" r:id="rId148" xr:uid="{00000000-0004-0000-0000-000093000000}"/>
    <hyperlink ref="A82" r:id="rId149" display="https://app.gettimely.com/billing/viewinvoice/185234794" xr:uid="{00000000-0004-0000-0000-000094000000}"/>
    <hyperlink ref="C82" r:id="rId150" xr:uid="{00000000-0004-0000-0000-000095000000}"/>
    <hyperlink ref="A83" r:id="rId151" display="https://app.gettimely.com/billing/viewinvoice/185234794" xr:uid="{00000000-0004-0000-0000-000096000000}"/>
    <hyperlink ref="C83" r:id="rId152" xr:uid="{00000000-0004-0000-0000-000097000000}"/>
    <hyperlink ref="A84" r:id="rId153" display="https://app.gettimely.com/billing/viewinvoice/185233770" xr:uid="{00000000-0004-0000-0000-000098000000}"/>
    <hyperlink ref="C84" r:id="rId154" xr:uid="{00000000-0004-0000-0000-000099000000}"/>
    <hyperlink ref="A85" r:id="rId155" display="https://app.gettimely.com/billing/viewinvoice/185233770" xr:uid="{00000000-0004-0000-0000-00009A000000}"/>
    <hyperlink ref="C85" r:id="rId156" xr:uid="{00000000-0004-0000-0000-00009B000000}"/>
    <hyperlink ref="A86" r:id="rId157" display="https://app.gettimely.com/billing/viewinvoice/185233770" xr:uid="{00000000-0004-0000-0000-00009C000000}"/>
    <hyperlink ref="C86" r:id="rId158" xr:uid="{00000000-0004-0000-0000-00009D000000}"/>
    <hyperlink ref="A87" r:id="rId159" display="https://app.gettimely.com/billing/viewinvoice/185233770" xr:uid="{00000000-0004-0000-0000-00009E000000}"/>
    <hyperlink ref="C87" r:id="rId160" xr:uid="{00000000-0004-0000-0000-00009F000000}"/>
    <hyperlink ref="A88" r:id="rId161" display="https://app.gettimely.com/billing/viewinvoice/185234811" xr:uid="{00000000-0004-0000-0000-0000A0000000}"/>
    <hyperlink ref="C88" r:id="rId162" xr:uid="{00000000-0004-0000-0000-0000A1000000}"/>
    <hyperlink ref="A89" r:id="rId163" display="https://app.gettimely.com/billing/viewinvoice/185234679" xr:uid="{00000000-0004-0000-0000-0000A2000000}"/>
    <hyperlink ref="C89" r:id="rId164" xr:uid="{00000000-0004-0000-0000-0000A3000000}"/>
    <hyperlink ref="A90" r:id="rId165" display="https://app.gettimely.com/billing/viewinvoice/185234679" xr:uid="{00000000-0004-0000-0000-0000A4000000}"/>
    <hyperlink ref="C90" r:id="rId166" xr:uid="{00000000-0004-0000-0000-0000A5000000}"/>
    <hyperlink ref="A91" r:id="rId167" display="https://app.gettimely.com/billing/viewinvoice/185235963" xr:uid="{00000000-0004-0000-0000-0000A6000000}"/>
    <hyperlink ref="C91" r:id="rId168" xr:uid="{00000000-0004-0000-0000-0000A7000000}"/>
    <hyperlink ref="A92" r:id="rId169" display="https://app.gettimely.com/billing/viewinvoice/185235053" xr:uid="{00000000-0004-0000-0000-0000A8000000}"/>
    <hyperlink ref="C92" r:id="rId170" xr:uid="{00000000-0004-0000-0000-0000A9000000}"/>
    <hyperlink ref="A93" r:id="rId171" display="https://app.gettimely.com/billing/viewinvoice/185242183" xr:uid="{00000000-0004-0000-0000-0000AA000000}"/>
    <hyperlink ref="C93" r:id="rId172" xr:uid="{00000000-0004-0000-0000-0000AB000000}"/>
    <hyperlink ref="A94" r:id="rId173" display="https://app.gettimely.com/billing/viewinvoice/185235053" xr:uid="{00000000-0004-0000-0000-0000AC000000}"/>
    <hyperlink ref="C94" r:id="rId174" xr:uid="{00000000-0004-0000-0000-0000AD000000}"/>
    <hyperlink ref="A95" r:id="rId175" display="https://app.gettimely.com/billing/viewinvoice/185236968" xr:uid="{00000000-0004-0000-0000-0000AE000000}"/>
    <hyperlink ref="C95" r:id="rId176" xr:uid="{00000000-0004-0000-0000-0000AF000000}"/>
    <hyperlink ref="A96" r:id="rId177" display="https://app.gettimely.com/billing/viewinvoice/185236968" xr:uid="{00000000-0004-0000-0000-0000B0000000}"/>
    <hyperlink ref="C96" r:id="rId178" xr:uid="{00000000-0004-0000-0000-0000B1000000}"/>
    <hyperlink ref="A97" r:id="rId179" display="https://app.gettimely.com/billing/viewinvoice/185236968" xr:uid="{00000000-0004-0000-0000-0000B2000000}"/>
    <hyperlink ref="C97" r:id="rId180" xr:uid="{00000000-0004-0000-0000-0000B3000000}"/>
    <hyperlink ref="A98" r:id="rId181" display="https://app.gettimely.com/billing/viewinvoice/185236968" xr:uid="{00000000-0004-0000-0000-0000B4000000}"/>
    <hyperlink ref="C98" r:id="rId182" xr:uid="{00000000-0004-0000-0000-0000B5000000}"/>
    <hyperlink ref="A99" r:id="rId183" display="https://app.gettimely.com/billing/viewinvoice/185239373" xr:uid="{00000000-0004-0000-0000-0000B6000000}"/>
    <hyperlink ref="C99" r:id="rId184" xr:uid="{00000000-0004-0000-0000-0000B7000000}"/>
    <hyperlink ref="A100" r:id="rId185" display="https://app.gettimely.com/billing/viewinvoice/185239373" xr:uid="{00000000-0004-0000-0000-0000B8000000}"/>
    <hyperlink ref="C100" r:id="rId186" xr:uid="{00000000-0004-0000-0000-0000B9000000}"/>
    <hyperlink ref="A101" r:id="rId187" display="https://app.gettimely.com/billing/viewinvoice/185239373" xr:uid="{00000000-0004-0000-0000-0000BA000000}"/>
    <hyperlink ref="C101" r:id="rId188" xr:uid="{00000000-0004-0000-0000-0000BB000000}"/>
    <hyperlink ref="A102" r:id="rId189" display="https://app.gettimely.com/billing/viewinvoice/185239373" xr:uid="{00000000-0004-0000-0000-0000BC000000}"/>
    <hyperlink ref="C102" r:id="rId190" xr:uid="{00000000-0004-0000-0000-0000BD000000}"/>
    <hyperlink ref="A103" r:id="rId191" display="https://app.gettimely.com/billing/viewinvoice/185236968" xr:uid="{00000000-0004-0000-0000-0000BE000000}"/>
    <hyperlink ref="C103" r:id="rId192" xr:uid="{00000000-0004-0000-0000-0000BF000000}"/>
    <hyperlink ref="A104" r:id="rId193" display="https://app.gettimely.com/billing/viewinvoice/185236968" xr:uid="{00000000-0004-0000-0000-0000C0000000}"/>
    <hyperlink ref="C104" r:id="rId194" xr:uid="{00000000-0004-0000-0000-0000C1000000}"/>
    <hyperlink ref="A105" r:id="rId195" display="https://app.gettimely.com/billing/viewinvoice/185239344" xr:uid="{00000000-0004-0000-0000-0000C2000000}"/>
    <hyperlink ref="C105" r:id="rId196" xr:uid="{00000000-0004-0000-0000-0000C3000000}"/>
    <hyperlink ref="A106" r:id="rId197" display="https://app.gettimely.com/billing/viewinvoice/185238884" xr:uid="{00000000-0004-0000-0000-0000C4000000}"/>
    <hyperlink ref="C106" r:id="rId198" xr:uid="{00000000-0004-0000-0000-0000C5000000}"/>
    <hyperlink ref="A107" r:id="rId199" display="https://app.gettimely.com/billing/viewinvoice/185238884" xr:uid="{00000000-0004-0000-0000-0000C6000000}"/>
    <hyperlink ref="C107" r:id="rId200" xr:uid="{00000000-0004-0000-0000-0000C7000000}"/>
    <hyperlink ref="A108" r:id="rId201" display="https://app.gettimely.com/billing/viewinvoice/185238884" xr:uid="{00000000-0004-0000-0000-0000C8000000}"/>
    <hyperlink ref="C108" r:id="rId202" xr:uid="{00000000-0004-0000-0000-0000C9000000}"/>
    <hyperlink ref="A109" r:id="rId203" display="https://app.gettimely.com/billing/viewinvoice/185238884" xr:uid="{00000000-0004-0000-0000-0000CA000000}"/>
    <hyperlink ref="C109" r:id="rId204" xr:uid="{00000000-0004-0000-0000-0000CB000000}"/>
    <hyperlink ref="A110" r:id="rId205" display="https://app.gettimely.com/billing/viewinvoice/185237844" xr:uid="{00000000-0004-0000-0000-0000CC000000}"/>
    <hyperlink ref="C110" r:id="rId206" xr:uid="{00000000-0004-0000-0000-0000CD000000}"/>
    <hyperlink ref="A111" r:id="rId207" display="https://app.gettimely.com/billing/viewinvoice/185240977" xr:uid="{00000000-0004-0000-0000-0000CE000000}"/>
    <hyperlink ref="C111" r:id="rId208" xr:uid="{00000000-0004-0000-0000-0000CF000000}"/>
    <hyperlink ref="A112" r:id="rId209" display="https://app.gettimely.com/billing/viewinvoice/185240977" xr:uid="{00000000-0004-0000-0000-0000D0000000}"/>
    <hyperlink ref="C112" r:id="rId210" xr:uid="{00000000-0004-0000-0000-0000D1000000}"/>
    <hyperlink ref="A113" r:id="rId211" display="https://app.gettimely.com/billing/viewinvoice/185242234" xr:uid="{00000000-0004-0000-0000-0000D2000000}"/>
    <hyperlink ref="C113" r:id="rId212" xr:uid="{00000000-0004-0000-0000-0000D3000000}"/>
    <hyperlink ref="A114" r:id="rId213" display="https://app.gettimely.com/billing/viewinvoice/185243055" xr:uid="{00000000-0004-0000-0000-0000D4000000}"/>
    <hyperlink ref="C114" r:id="rId214" xr:uid="{00000000-0004-0000-0000-0000D5000000}"/>
    <hyperlink ref="A115" r:id="rId215" display="https://app.gettimely.com/billing/viewinvoice/185243055" xr:uid="{00000000-0004-0000-0000-0000D6000000}"/>
    <hyperlink ref="C115" r:id="rId216" xr:uid="{00000000-0004-0000-0000-0000D7000000}"/>
    <hyperlink ref="A116" r:id="rId217" display="https://app.gettimely.com/billing/viewinvoice/185243550" xr:uid="{00000000-0004-0000-0000-0000D8000000}"/>
    <hyperlink ref="C116" r:id="rId218" xr:uid="{00000000-0004-0000-0000-0000D9000000}"/>
    <hyperlink ref="A117" r:id="rId219" display="https://app.gettimely.com/billing/viewinvoice/185243550" xr:uid="{00000000-0004-0000-0000-0000DA000000}"/>
    <hyperlink ref="C117" r:id="rId220" xr:uid="{00000000-0004-0000-0000-0000DB000000}"/>
    <hyperlink ref="A118" r:id="rId221" display="https://app.gettimely.com/billing/viewinvoice/185247744" xr:uid="{00000000-0004-0000-0000-0000DC000000}"/>
    <hyperlink ref="C118" r:id="rId222" xr:uid="{00000000-0004-0000-0000-0000DD000000}"/>
    <hyperlink ref="A119" r:id="rId223" display="https://app.gettimely.com/billing/viewinvoice/185247744" xr:uid="{00000000-0004-0000-0000-0000DE000000}"/>
    <hyperlink ref="C119" r:id="rId224" xr:uid="{00000000-0004-0000-0000-0000DF000000}"/>
    <hyperlink ref="A120" r:id="rId225" display="https://app.gettimely.com/billing/viewinvoice/185247744" xr:uid="{00000000-0004-0000-0000-0000E0000000}"/>
    <hyperlink ref="C120" r:id="rId226" xr:uid="{00000000-0004-0000-0000-0000E1000000}"/>
    <hyperlink ref="A121" r:id="rId227" display="https://app.gettimely.com/billing/viewinvoice/185247744" xr:uid="{00000000-0004-0000-0000-0000E2000000}"/>
    <hyperlink ref="C121" r:id="rId228" xr:uid="{00000000-0004-0000-0000-0000E3000000}"/>
    <hyperlink ref="A122" r:id="rId229" display="https://app.gettimely.com/billing/viewinvoice/185250220" xr:uid="{00000000-0004-0000-0000-0000E4000000}"/>
    <hyperlink ref="C122" r:id="rId230" xr:uid="{00000000-0004-0000-0000-0000E5000000}"/>
    <hyperlink ref="A123" r:id="rId231" display="https://app.gettimely.com/billing/viewinvoice/185250220" xr:uid="{00000000-0004-0000-0000-0000E6000000}"/>
    <hyperlink ref="C123" r:id="rId232" xr:uid="{00000000-0004-0000-0000-0000E7000000}"/>
    <hyperlink ref="A124" r:id="rId233" display="https://app.gettimely.com/billing/viewinvoice/185250220" xr:uid="{00000000-0004-0000-0000-0000E8000000}"/>
    <hyperlink ref="C124" r:id="rId234" xr:uid="{00000000-0004-0000-0000-0000E9000000}"/>
    <hyperlink ref="A125" r:id="rId235" display="https://app.gettimely.com/billing/viewinvoice/185250220" xr:uid="{00000000-0004-0000-0000-0000EA000000}"/>
    <hyperlink ref="C125" r:id="rId236" xr:uid="{00000000-0004-0000-0000-0000EB000000}"/>
    <hyperlink ref="A126" r:id="rId237" display="https://app.gettimely.com/billing/viewinvoice/185250220" xr:uid="{00000000-0004-0000-0000-0000EC000000}"/>
    <hyperlink ref="C126" r:id="rId238" xr:uid="{00000000-0004-0000-0000-0000ED000000}"/>
    <hyperlink ref="A127" r:id="rId239" display="https://app.gettimely.com/billing/viewinvoice/185250220" xr:uid="{00000000-0004-0000-0000-0000EE000000}"/>
    <hyperlink ref="C127" r:id="rId240" xr:uid="{00000000-0004-0000-0000-0000EF000000}"/>
    <hyperlink ref="A128" r:id="rId241" display="https://app.gettimely.com/billing/viewinvoice/185250991" xr:uid="{00000000-0004-0000-0000-0000F0000000}"/>
    <hyperlink ref="C128" r:id="rId242" xr:uid="{00000000-0004-0000-0000-0000F1000000}"/>
    <hyperlink ref="A129" r:id="rId243" display="https://app.gettimely.com/billing/viewinvoice/185249146" xr:uid="{00000000-0004-0000-0000-0000F2000000}"/>
    <hyperlink ref="C129" r:id="rId244" xr:uid="{00000000-0004-0000-0000-0000F3000000}"/>
    <hyperlink ref="A130" r:id="rId245" display="https://app.gettimely.com/billing/viewinvoice/185249146" xr:uid="{00000000-0004-0000-0000-0000F4000000}"/>
    <hyperlink ref="C130" r:id="rId246" xr:uid="{00000000-0004-0000-0000-0000F5000000}"/>
    <hyperlink ref="A131" r:id="rId247" display="https://app.gettimely.com/billing/viewinvoice/185249146" xr:uid="{00000000-0004-0000-0000-0000F6000000}"/>
    <hyperlink ref="C131" r:id="rId248" xr:uid="{00000000-0004-0000-0000-0000F7000000}"/>
    <hyperlink ref="A132" r:id="rId249" display="https://app.gettimely.com/billing/viewinvoice/185250991" xr:uid="{00000000-0004-0000-0000-0000F8000000}"/>
    <hyperlink ref="C132" r:id="rId250" xr:uid="{00000000-0004-0000-0000-0000F9000000}"/>
    <hyperlink ref="A133" r:id="rId251" display="https://app.gettimely.com/billing/viewinvoice/185249773" xr:uid="{00000000-0004-0000-0000-0000FA000000}"/>
    <hyperlink ref="C133" r:id="rId252" xr:uid="{00000000-0004-0000-0000-0000FB000000}"/>
    <hyperlink ref="A134" r:id="rId253" display="https://app.gettimely.com/billing/viewinvoice/185245228" xr:uid="{00000000-0004-0000-0000-0000FC000000}"/>
    <hyperlink ref="C134" r:id="rId254" xr:uid="{00000000-0004-0000-0000-0000FD000000}"/>
    <hyperlink ref="A135" r:id="rId255" display="https://app.gettimely.com/billing/viewinvoice/185248065" xr:uid="{00000000-0004-0000-0000-0000FE000000}"/>
    <hyperlink ref="C135" r:id="rId256" xr:uid="{00000000-0004-0000-0000-0000FF000000}"/>
    <hyperlink ref="A136" r:id="rId257" display="https://app.gettimely.com/billing/viewinvoice/185248065" xr:uid="{00000000-0004-0000-0000-000000010000}"/>
    <hyperlink ref="C136" r:id="rId258" xr:uid="{00000000-0004-0000-0000-000001010000}"/>
    <hyperlink ref="A137" r:id="rId259" display="https://app.gettimely.com/billing/viewinvoice/185248065" xr:uid="{00000000-0004-0000-0000-000002010000}"/>
    <hyperlink ref="C137" r:id="rId260" xr:uid="{00000000-0004-0000-0000-000003010000}"/>
    <hyperlink ref="A138" r:id="rId261" display="https://app.gettimely.com/billing/viewinvoice/185248065" xr:uid="{00000000-0004-0000-0000-000004010000}"/>
    <hyperlink ref="C138" r:id="rId262" xr:uid="{00000000-0004-0000-0000-000005010000}"/>
    <hyperlink ref="A139" r:id="rId263" display="https://app.gettimely.com/billing/viewinvoice/185248065" xr:uid="{00000000-0004-0000-0000-000006010000}"/>
    <hyperlink ref="C139" r:id="rId264" xr:uid="{00000000-0004-0000-0000-000007010000}"/>
    <hyperlink ref="A140" r:id="rId265" display="https://app.gettimely.com/billing/viewinvoice/185248065" xr:uid="{00000000-0004-0000-0000-000008010000}"/>
    <hyperlink ref="C140" r:id="rId266" xr:uid="{00000000-0004-0000-0000-000009010000}"/>
    <hyperlink ref="A141" r:id="rId267" display="https://app.gettimely.com/billing/viewinvoice/185249146" xr:uid="{00000000-0004-0000-0000-00000A010000}"/>
    <hyperlink ref="C141" r:id="rId268" xr:uid="{00000000-0004-0000-0000-00000B010000}"/>
    <hyperlink ref="A142" r:id="rId269" display="https://app.gettimely.com/billing/viewinvoice/185246426" xr:uid="{00000000-0004-0000-0000-00000C010000}"/>
    <hyperlink ref="C142" r:id="rId270" xr:uid="{00000000-0004-0000-0000-00000D010000}"/>
    <hyperlink ref="A143" r:id="rId271" display="https://app.gettimely.com/billing/viewinvoice/185246426" xr:uid="{00000000-0004-0000-0000-00000E010000}"/>
    <hyperlink ref="C143" r:id="rId272" xr:uid="{00000000-0004-0000-0000-00000F010000}"/>
    <hyperlink ref="A144" r:id="rId273" display="https://app.gettimely.com/billing/viewinvoice/185246426" xr:uid="{00000000-0004-0000-0000-000010010000}"/>
    <hyperlink ref="C144" r:id="rId274" xr:uid="{00000000-0004-0000-0000-000011010000}"/>
    <hyperlink ref="A145" r:id="rId275" display="https://app.gettimely.com/billing/viewinvoice/185246426" xr:uid="{00000000-0004-0000-0000-000012010000}"/>
    <hyperlink ref="C145" r:id="rId276" xr:uid="{00000000-0004-0000-0000-000013010000}"/>
    <hyperlink ref="A146" r:id="rId277" display="https://app.gettimely.com/billing/viewinvoice/185264633" xr:uid="{00000000-0004-0000-0000-000014010000}"/>
    <hyperlink ref="C146" r:id="rId278" xr:uid="{00000000-0004-0000-0000-000015010000}"/>
    <hyperlink ref="A147" r:id="rId279" display="https://app.gettimely.com/billing/viewinvoice/185251438" xr:uid="{00000000-0004-0000-0000-000016010000}"/>
    <hyperlink ref="C147" r:id="rId280" xr:uid="{00000000-0004-0000-0000-000017010000}"/>
    <hyperlink ref="A148" r:id="rId281" display="https://app.gettimely.com/billing/viewinvoice/185252881" xr:uid="{00000000-0004-0000-0000-000018010000}"/>
    <hyperlink ref="C148" r:id="rId282" xr:uid="{00000000-0004-0000-0000-000019010000}"/>
    <hyperlink ref="A149" r:id="rId283" display="https://app.gettimely.com/billing/viewinvoice/185254877" xr:uid="{00000000-0004-0000-0000-00001A010000}"/>
    <hyperlink ref="C149" r:id="rId284" xr:uid="{00000000-0004-0000-0000-00001B010000}"/>
    <hyperlink ref="A150" r:id="rId285" display="https://app.gettimely.com/billing/viewinvoice/185259815" xr:uid="{00000000-0004-0000-0000-00001C010000}"/>
    <hyperlink ref="C150" r:id="rId286" xr:uid="{00000000-0004-0000-0000-00001D010000}"/>
    <hyperlink ref="A151" r:id="rId287" display="https://app.gettimely.com/billing/viewinvoice/185259815" xr:uid="{00000000-0004-0000-0000-00001E010000}"/>
    <hyperlink ref="C151" r:id="rId288" xr:uid="{00000000-0004-0000-0000-00001F010000}"/>
    <hyperlink ref="A152" r:id="rId289" display="https://app.gettimely.com/billing/viewinvoice/185259815" xr:uid="{00000000-0004-0000-0000-000020010000}"/>
    <hyperlink ref="C152" r:id="rId290" xr:uid="{00000000-0004-0000-0000-000021010000}"/>
    <hyperlink ref="A153" r:id="rId291" display="https://app.gettimely.com/billing/viewinvoice/185259815" xr:uid="{00000000-0004-0000-0000-000022010000}"/>
    <hyperlink ref="C153" r:id="rId292" xr:uid="{00000000-0004-0000-0000-000023010000}"/>
    <hyperlink ref="A154" r:id="rId293" display="https://app.gettimely.com/billing/viewinvoice/185252881" xr:uid="{00000000-0004-0000-0000-000024010000}"/>
    <hyperlink ref="C154" r:id="rId294" xr:uid="{00000000-0004-0000-0000-000025010000}"/>
    <hyperlink ref="A155" r:id="rId295" display="https://app.gettimely.com/billing/viewinvoice/185253785" xr:uid="{00000000-0004-0000-0000-000026010000}"/>
    <hyperlink ref="C155" r:id="rId296" xr:uid="{00000000-0004-0000-0000-000027010000}"/>
    <hyperlink ref="A156" r:id="rId297" display="https://app.gettimely.com/billing/viewinvoice/185253785" xr:uid="{00000000-0004-0000-0000-000028010000}"/>
    <hyperlink ref="C156" r:id="rId298" xr:uid="{00000000-0004-0000-0000-000029010000}"/>
    <hyperlink ref="A157" r:id="rId299" display="https://app.gettimely.com/billing/viewinvoice/185256621" xr:uid="{00000000-0004-0000-0000-00002A010000}"/>
    <hyperlink ref="C157" r:id="rId300" xr:uid="{00000000-0004-0000-0000-00002B010000}"/>
    <hyperlink ref="A158" r:id="rId301" display="https://app.gettimely.com/billing/viewinvoice/185256621" xr:uid="{00000000-0004-0000-0000-00002C010000}"/>
    <hyperlink ref="C158" r:id="rId302" xr:uid="{00000000-0004-0000-0000-00002D010000}"/>
    <hyperlink ref="A159" r:id="rId303" display="https://app.gettimely.com/billing/viewinvoice/185256504" xr:uid="{00000000-0004-0000-0000-00002E010000}"/>
    <hyperlink ref="C159" r:id="rId304" xr:uid="{00000000-0004-0000-0000-00002F010000}"/>
    <hyperlink ref="A160" r:id="rId305" display="https://app.gettimely.com/billing/viewinvoice/185263974" xr:uid="{00000000-0004-0000-0000-000030010000}"/>
    <hyperlink ref="C160" r:id="rId306" xr:uid="{00000000-0004-0000-0000-000031010000}"/>
    <hyperlink ref="A161" r:id="rId307" display="https://app.gettimely.com/billing/viewinvoice/185258584" xr:uid="{00000000-0004-0000-0000-000032010000}"/>
    <hyperlink ref="C161" r:id="rId308" xr:uid="{00000000-0004-0000-0000-000033010000}"/>
    <hyperlink ref="A162" r:id="rId309" display="https://app.gettimely.com/billing/viewinvoice/185258584" xr:uid="{00000000-0004-0000-0000-000034010000}"/>
    <hyperlink ref="C162" r:id="rId310" xr:uid="{00000000-0004-0000-0000-000035010000}"/>
    <hyperlink ref="A163" r:id="rId311" display="https://app.gettimely.com/billing/viewinvoice/185258584" xr:uid="{00000000-0004-0000-0000-000036010000}"/>
    <hyperlink ref="C163" r:id="rId312" xr:uid="{00000000-0004-0000-0000-000037010000}"/>
    <hyperlink ref="A164" r:id="rId313" display="https://app.gettimely.com/billing/viewinvoice/185258584" xr:uid="{00000000-0004-0000-0000-000038010000}"/>
    <hyperlink ref="C164" r:id="rId314" xr:uid="{00000000-0004-0000-0000-000039010000}"/>
    <hyperlink ref="A165" r:id="rId315" display="https://app.gettimely.com/billing/viewinvoice/185257688" xr:uid="{00000000-0004-0000-0000-00003A010000}"/>
    <hyperlink ref="C165" r:id="rId316" xr:uid="{00000000-0004-0000-0000-00003B010000}"/>
    <hyperlink ref="A166" r:id="rId317" display="https://app.gettimely.com/billing/viewinvoice/185255632" xr:uid="{00000000-0004-0000-0000-00003C010000}"/>
    <hyperlink ref="C166" r:id="rId318" xr:uid="{00000000-0004-0000-0000-00003D010000}"/>
    <hyperlink ref="A167" r:id="rId319" display="https://app.gettimely.com/billing/viewinvoice/185265334" xr:uid="{00000000-0004-0000-0000-00003E010000}"/>
    <hyperlink ref="C167" r:id="rId320" xr:uid="{00000000-0004-0000-0000-00003F010000}"/>
    <hyperlink ref="A168" r:id="rId321" display="https://app.gettimely.com/billing/viewinvoice/185265334" xr:uid="{00000000-0004-0000-0000-000040010000}"/>
    <hyperlink ref="C168" r:id="rId322" xr:uid="{00000000-0004-0000-0000-000041010000}"/>
    <hyperlink ref="A169" r:id="rId323" display="https://app.gettimely.com/billing/viewinvoice/185262239" xr:uid="{00000000-0004-0000-0000-000042010000}"/>
    <hyperlink ref="C169" r:id="rId324" xr:uid="{00000000-0004-0000-0000-000043010000}"/>
    <hyperlink ref="A170" r:id="rId325" display="https://app.gettimely.com/billing/viewinvoice/185262239" xr:uid="{00000000-0004-0000-0000-000044010000}"/>
    <hyperlink ref="C170" r:id="rId326" xr:uid="{00000000-0004-0000-0000-000045010000}"/>
    <hyperlink ref="A171" r:id="rId327" display="https://app.gettimely.com/billing/viewinvoice/185266148" xr:uid="{00000000-0004-0000-0000-000046010000}"/>
    <hyperlink ref="C171" r:id="rId328" xr:uid="{00000000-0004-0000-0000-000047010000}"/>
    <hyperlink ref="A172" r:id="rId329" display="https://app.gettimely.com/billing/viewinvoice/185266148" xr:uid="{00000000-0004-0000-0000-000048010000}"/>
    <hyperlink ref="C172" r:id="rId330" xr:uid="{00000000-0004-0000-0000-000049010000}"/>
    <hyperlink ref="A173" r:id="rId331" display="https://app.gettimely.com/billing/viewinvoice/185266148" xr:uid="{00000000-0004-0000-0000-00004A010000}"/>
    <hyperlink ref="C173" r:id="rId332" xr:uid="{00000000-0004-0000-0000-00004B010000}"/>
    <hyperlink ref="A174" r:id="rId333" display="https://app.gettimely.com/billing/viewinvoice/185266148" xr:uid="{00000000-0004-0000-0000-00004C010000}"/>
    <hyperlink ref="C174" r:id="rId334" xr:uid="{00000000-0004-0000-0000-00004D010000}"/>
    <hyperlink ref="A175" r:id="rId335" display="https://app.gettimely.com/billing/viewinvoice/185261805" xr:uid="{00000000-0004-0000-0000-00004E010000}"/>
    <hyperlink ref="C175" r:id="rId336" xr:uid="{00000000-0004-0000-0000-00004F010000}"/>
    <hyperlink ref="A176" r:id="rId337" display="https://app.gettimely.com/billing/viewinvoice/185261805" xr:uid="{00000000-0004-0000-0000-000050010000}"/>
    <hyperlink ref="C176" r:id="rId338" xr:uid="{00000000-0004-0000-0000-000051010000}"/>
    <hyperlink ref="A177" r:id="rId339" display="https://app.gettimely.com/billing/viewinvoice/185263030" xr:uid="{00000000-0004-0000-0000-000052010000}"/>
    <hyperlink ref="C177" r:id="rId340" xr:uid="{00000000-0004-0000-0000-000053010000}"/>
    <hyperlink ref="A178" r:id="rId341" display="https://app.gettimely.com/billing/viewinvoice/185263030" xr:uid="{00000000-0004-0000-0000-000054010000}"/>
    <hyperlink ref="C178" r:id="rId342" xr:uid="{00000000-0004-0000-0000-000055010000}"/>
    <hyperlink ref="A179" r:id="rId343" display="https://app.gettimely.com/billing/viewinvoice/185263030" xr:uid="{00000000-0004-0000-0000-000056010000}"/>
    <hyperlink ref="C179" r:id="rId344" xr:uid="{00000000-0004-0000-0000-000057010000}"/>
    <hyperlink ref="A180" r:id="rId345" display="https://app.gettimely.com/billing/viewinvoice/185263030" xr:uid="{00000000-0004-0000-0000-000058010000}"/>
    <hyperlink ref="C180" r:id="rId346" xr:uid="{00000000-0004-0000-0000-000059010000}"/>
    <hyperlink ref="A181" r:id="rId347" display="https://app.gettimely.com/billing/viewinvoice/185263638" xr:uid="{00000000-0004-0000-0000-00005A010000}"/>
    <hyperlink ref="C181" r:id="rId348" xr:uid="{00000000-0004-0000-0000-00005B010000}"/>
    <hyperlink ref="A182" r:id="rId349" display="https://app.gettimely.com/billing/viewinvoice/185262136" xr:uid="{00000000-0004-0000-0000-00005C010000}"/>
    <hyperlink ref="C182" r:id="rId350" xr:uid="{00000000-0004-0000-0000-00005D010000}"/>
    <hyperlink ref="A183" r:id="rId351" display="https://app.gettimely.com/billing/viewinvoice/185269101" xr:uid="{00000000-0004-0000-0000-00005E010000}"/>
    <hyperlink ref="C183" r:id="rId352" xr:uid="{00000000-0004-0000-0000-00005F010000}"/>
    <hyperlink ref="A184" r:id="rId353" display="https://app.gettimely.com/billing/viewinvoice/185269101" xr:uid="{00000000-0004-0000-0000-000060010000}"/>
    <hyperlink ref="C184" r:id="rId354" xr:uid="{00000000-0004-0000-0000-000061010000}"/>
    <hyperlink ref="A185" r:id="rId355" display="https://app.gettimely.com/billing/viewinvoice/185277933" xr:uid="{00000000-0004-0000-0000-000062010000}"/>
    <hyperlink ref="C185" r:id="rId356" xr:uid="{00000000-0004-0000-0000-000063010000}"/>
    <hyperlink ref="A186" r:id="rId357" display="https://app.gettimely.com/billing/viewinvoice/185268977" xr:uid="{00000000-0004-0000-0000-000064010000}"/>
    <hyperlink ref="C186" r:id="rId358" xr:uid="{00000000-0004-0000-0000-000065010000}"/>
    <hyperlink ref="A187" r:id="rId359" display="https://app.gettimely.com/billing/viewinvoice/185267060" xr:uid="{00000000-0004-0000-0000-000066010000}"/>
    <hyperlink ref="C187" r:id="rId360" xr:uid="{00000000-0004-0000-0000-000067010000}"/>
    <hyperlink ref="A188" r:id="rId361" display="https://app.gettimely.com/billing/viewinvoice/185273618" xr:uid="{00000000-0004-0000-0000-000068010000}"/>
    <hyperlink ref="C188" r:id="rId362" xr:uid="{00000000-0004-0000-0000-000069010000}"/>
    <hyperlink ref="A189" r:id="rId363" display="https://app.gettimely.com/billing/viewinvoice/185273618" xr:uid="{00000000-0004-0000-0000-00006A010000}"/>
    <hyperlink ref="C189" r:id="rId364" xr:uid="{00000000-0004-0000-0000-00006B010000}"/>
    <hyperlink ref="A190" r:id="rId365" display="https://app.gettimely.com/billing/viewinvoice/185273618" xr:uid="{00000000-0004-0000-0000-00006C010000}"/>
    <hyperlink ref="C190" r:id="rId366" xr:uid="{00000000-0004-0000-0000-00006D010000}"/>
    <hyperlink ref="A191" r:id="rId367" display="https://app.gettimely.com/billing/viewinvoice/185274243" xr:uid="{00000000-0004-0000-0000-00006E010000}"/>
    <hyperlink ref="C191" r:id="rId368" xr:uid="{00000000-0004-0000-0000-00006F010000}"/>
    <hyperlink ref="A192" r:id="rId369" display="https://app.gettimely.com/billing/viewinvoice/185274243" xr:uid="{00000000-0004-0000-0000-000070010000}"/>
    <hyperlink ref="C192" r:id="rId370" xr:uid="{00000000-0004-0000-0000-000071010000}"/>
    <hyperlink ref="A193" r:id="rId371" display="https://app.gettimely.com/billing/viewinvoice/185274243" xr:uid="{00000000-0004-0000-0000-000072010000}"/>
    <hyperlink ref="C193" r:id="rId372" xr:uid="{00000000-0004-0000-0000-000073010000}"/>
    <hyperlink ref="A194" r:id="rId373" display="https://app.gettimely.com/billing/viewinvoice/185274243" xr:uid="{00000000-0004-0000-0000-000074010000}"/>
    <hyperlink ref="C194" r:id="rId374" xr:uid="{00000000-0004-0000-0000-000075010000}"/>
  </hyperlinks>
  <pageMargins left="0.39370078740157499" right="0.39370078740157499" top="0.39370078740157499" bottom="0.67831496062992103" header="0.39370078740157499" footer="0.39370078740157499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InvoiceDetail</vt:lpstr>
      <vt:lpstr>InvoiceDetail!Print_Titles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Garcia</cp:lastModifiedBy>
  <dcterms:created xsi:type="dcterms:W3CDTF">2025-11-24T18:04:00Z</dcterms:created>
  <dcterms:modified xsi:type="dcterms:W3CDTF">2025-11-24T18:04:27Z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